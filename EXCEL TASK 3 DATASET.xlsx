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F1D5798C-A2A6-AE4B-9D1F-F8FEB0A35254}" xr6:coauthVersionLast="47" xr6:coauthVersionMax="47" xr10:uidLastSave="{00000000-0000-0000-0000-000000000000}"/>
  <bookViews>
    <workbookView xWindow="0" yWindow="520" windowWidth="19420" windowHeight="10300" xr2:uid="{00000000-000D-0000-FFFF-FFFF00000000}"/>
  </bookViews>
  <sheets>
    <sheet name="Medica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" l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C24" i="1"/>
  <c r="T3" i="1"/>
  <c r="T2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S9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C32" i="1"/>
  <c r="C31" i="1"/>
  <c r="C30" i="1"/>
  <c r="L2" i="1"/>
  <c r="S2" i="1" s="1"/>
  <c r="L3" i="1"/>
  <c r="S3" i="1" s="1"/>
  <c r="L4" i="1"/>
  <c r="S4" i="1" s="1"/>
  <c r="L5" i="1"/>
  <c r="S5" i="1" s="1"/>
  <c r="L6" i="1"/>
  <c r="S6" i="1" s="1"/>
  <c r="L7" i="1"/>
  <c r="S7" i="1" s="1"/>
  <c r="L8" i="1"/>
  <c r="S8" i="1" s="1"/>
  <c r="L9" i="1"/>
  <c r="L10" i="1"/>
  <c r="S10" i="1" s="1"/>
  <c r="L11" i="1"/>
  <c r="S11" i="1" s="1"/>
  <c r="L12" i="1"/>
  <c r="S12" i="1" s="1"/>
  <c r="L13" i="1"/>
  <c r="S13" i="1" s="1"/>
  <c r="L14" i="1"/>
  <c r="S14" i="1" s="1"/>
  <c r="L15" i="1"/>
  <c r="S15" i="1" s="1"/>
  <c r="L16" i="1"/>
  <c r="S16" i="1" s="1"/>
  <c r="C29" i="1"/>
  <c r="C28" i="1"/>
  <c r="C27" i="1"/>
  <c r="C26" i="1"/>
  <c r="C25" i="1"/>
</calcChain>
</file>

<file path=xl/sharedStrings.xml><?xml version="1.0" encoding="utf-8"?>
<sst xmlns="http://schemas.openxmlformats.org/spreadsheetml/2006/main" count="109" uniqueCount="58">
  <si>
    <t>Patient_ID</t>
  </si>
  <si>
    <t>Patient_Name</t>
  </si>
  <si>
    <t>Age</t>
  </si>
  <si>
    <t>Gender</t>
  </si>
  <si>
    <t>Department</t>
  </si>
  <si>
    <t>Treatment_Days</t>
  </si>
  <si>
    <t>Medication_Cost</t>
  </si>
  <si>
    <t>Lab_Cost</t>
  </si>
  <si>
    <t>Room_Cost_Per_Day</t>
  </si>
  <si>
    <t>Insurance_Covered</t>
  </si>
  <si>
    <t>Follow_Up_Required</t>
  </si>
  <si>
    <t>Aisha</t>
  </si>
  <si>
    <t>Rahul</t>
  </si>
  <si>
    <t>Meera</t>
  </si>
  <si>
    <t>Arjun</t>
  </si>
  <si>
    <t>Fathima</t>
  </si>
  <si>
    <t>Nikhil</t>
  </si>
  <si>
    <t>Ananya</t>
  </si>
  <si>
    <t>Vivek</t>
  </si>
  <si>
    <t>Sara</t>
  </si>
  <si>
    <t>Rohan</t>
  </si>
  <si>
    <t>Diya</t>
  </si>
  <si>
    <t>Adil</t>
  </si>
  <si>
    <t>Neha</t>
  </si>
  <si>
    <t>Kiran</t>
  </si>
  <si>
    <t>Maya</t>
  </si>
  <si>
    <t>Female</t>
  </si>
  <si>
    <t>Male</t>
  </si>
  <si>
    <t>Cardiology</t>
  </si>
  <si>
    <t>Orthopedics</t>
  </si>
  <si>
    <t>Pediatrics</t>
  </si>
  <si>
    <t>Neurology</t>
  </si>
  <si>
    <t>General Medicine</t>
  </si>
  <si>
    <t>Yes</t>
  </si>
  <si>
    <t>No</t>
  </si>
  <si>
    <t>Max age</t>
  </si>
  <si>
    <t>min tretment days</t>
  </si>
  <si>
    <t>max tretment days</t>
  </si>
  <si>
    <t>medication cost</t>
  </si>
  <si>
    <t>total tab cost</t>
  </si>
  <si>
    <t>totall tretment</t>
  </si>
  <si>
    <t>cost of each employee</t>
  </si>
  <si>
    <t>count</t>
  </si>
  <si>
    <t>cardiyology</t>
  </si>
  <si>
    <t>incurance coverage</t>
  </si>
  <si>
    <t>room cost</t>
  </si>
  <si>
    <t>patient each</t>
  </si>
  <si>
    <t>eligible</t>
  </si>
  <si>
    <t>High medication</t>
  </si>
  <si>
    <t>15</t>
  </si>
  <si>
    <t>16</t>
  </si>
  <si>
    <t>17</t>
  </si>
  <si>
    <t>18</t>
  </si>
  <si>
    <t>Column1</t>
  </si>
  <si>
    <t>Column2</t>
  </si>
  <si>
    <t>Column3</t>
  </si>
  <si>
    <t>Q.NO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</si>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</sst>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320E9F-21A5-40F0-85C2-FE838DB1540B}" name="Table1" displayName="Table1" ref="A1:T16" totalsRowShown="0" headerRowDxfId="10">
  <autoFilter ref="A1:T16" xr:uid="{48320E9F-21A5-40F0-85C2-FE838DB1540B}"/>
  <tableColumns count="20">
    <tableColumn id="1" xr3:uid="{0D8F594D-49F5-430C-9828-0ACB963CD214}" name="Patient_ID"/>
    <tableColumn id="2" xr3:uid="{41971933-7128-42D0-9A6A-44BB68F792CE}" name="Patient_Name"/>
    <tableColumn id="3" xr3:uid="{BDF8D8F0-7FFA-4DCF-A83C-DD0E300F613A}" name="Age"/>
    <tableColumn id="4" xr3:uid="{B6E0C25F-0BE1-44A3-8376-ED88E2C0F0A5}" name="Gender"/>
    <tableColumn id="5" xr3:uid="{E7D13C5C-BCF8-4514-90E1-922FC1D13C19}" name="Department"/>
    <tableColumn id="6" xr3:uid="{5FF7739D-D6D7-40D7-A613-6C2462ED4E4B}" name="Treatment_Days"/>
    <tableColumn id="7" xr3:uid="{A1C24CE6-6D46-439D-A374-A184D5C037D6}" name="Medication_Cost"/>
    <tableColumn id="8" xr3:uid="{EA3EC710-ECBD-4A28-99A1-8A8720DF5139}" name="Lab_Cost"/>
    <tableColumn id="9" xr3:uid="{7C867A01-CB53-4B13-849A-0F21193CD0A9}" name="Room_Cost_Per_Day"/>
    <tableColumn id="10" xr3:uid="{A129C459-F869-4812-AA05-FE8713F5111D}" name="Insurance_Covered"/>
    <tableColumn id="11" xr3:uid="{E9DC5A7C-F738-4B1C-A884-57835E00DB4A}" name="Follow_Up_Required"/>
    <tableColumn id="12" xr3:uid="{5568A693-D117-4B43-8AC7-C293311FCF53}" name="cost of each employee" dataDxfId="9">
      <calculatedColumnFormula>SUM(Table1[[#This Row],[Medication_Cost]],Table1[[#This Row],[Lab_Cost]],Table1[[#This Row],[Room_Cost_Per_Day]])</calculatedColumnFormula>
    </tableColumn>
    <tableColumn id="14" xr3:uid="{A3E9DC19-35AD-442A-8711-2C14ED8B622C}" name="room cost" dataDxfId="8">
      <calculatedColumnFormula>Table1[[#This Row],[Treatment_Days]]*Table1[[#This Row],[Room_Cost_Per_Day]]</calculatedColumnFormula>
    </tableColumn>
    <tableColumn id="15" xr3:uid="{E43CBDD9-7D28-41D3-8DAC-2A8D0AAA3391}" name="patient each" dataDxfId="7">
      <calculatedColumnFormula>IF(Table1[[#This Row],[Age]]&lt;60,"adult","senior citizen")</calculatedColumnFormula>
    </tableColumn>
    <tableColumn id="16" xr3:uid="{B177BAC5-4B36-43E2-9A3F-99ED55E97318}" name="eligible" dataDxfId="6">
      <calculatedColumnFormula>IF(Table1[[#This Row],[Treatment_Days]]&gt;=7,"long tretment","short tretment")</calculatedColumnFormula>
    </tableColumn>
    <tableColumn id="17" xr3:uid="{A2980614-FA29-4635-81EA-C11C6BA7E93D}" name="High medication" dataDxfId="5">
      <calculatedColumnFormula>IF(Table1[[#This Row],[Medication_Cost]]&gt;=3000,"high medication","normal medication")</calculatedColumnFormula>
    </tableColumn>
    <tableColumn id="18" xr3:uid="{ECDDF97C-9CF5-41C1-AAED-F775444C108E}" name="15" dataDxfId="4">
      <calculatedColumnFormula>IF(AND(Table1[[#This Row],[Age]]&gt;=60,Table1[[#This Row],[Treatment_Days]]&gt;=7),"priority patient","Non priority")</calculatedColumnFormula>
    </tableColumn>
    <tableColumn id="19" xr3:uid="{109B4EEB-ACA5-46BF-82A3-84ED9BF2B86B}" name="16" dataDxfId="3">
      <calculatedColumnFormula>IF(OR(Table1[[#This Row],[Age]]&lt;=30,Table1[[#This Row],[Treatment_Days]]&gt;=10),"Special attention","not special")</calculatedColumnFormula>
    </tableColumn>
    <tableColumn id="20" xr3:uid="{E7A83426-15F5-44BD-BFB9-C969CB02BDC7}" name="17" dataDxfId="2">
      <calculatedColumnFormula>IF(AND(Table1[[#This Row],[cost of each employee]]&gt;=10000,Table1[[#This Row],[Insurance_Covered]]="Yes"),"insurance benift","not benfit")</calculatedColumnFormula>
    </tableColumn>
    <tableColumn id="21" xr3:uid="{7E74B961-BA4B-46BD-9833-58C5F9F451C3}" name="18" dataDxfId="1">
      <calculatedColumnFormula>IF(OR(Table1[[#This Row],[Follow_Up_Required]]="Yes",Table1[[#This Row],[Treatment_Days]]&gt;=10),"YES","NO")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0C7683-6373-45FC-B860-014A2817641C}" name="Table3" displayName="Table3" ref="A23:C32" totalsRowShown="0">
  <autoFilter ref="A23:C32" xr:uid="{D10C7683-6373-45FC-B860-014A2817641C}"/>
  <tableColumns count="3">
    <tableColumn id="1" xr3:uid="{D85F489A-F0EE-42F6-9988-39F5D0C8CB2B}" name="Column1"/>
    <tableColumn id="2" xr3:uid="{6B11B5F0-2724-418A-B7DE-7F57242F07EE}" name="Column2"/>
    <tableColumn id="3" xr3:uid="{760602F6-3A7F-482B-8E06-D80E9F0FFCD5}" name="Column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59C9FA-00A8-4C56-B803-E213156FD669}" name="Table4" displayName="Table4" ref="E23:F43" totalsRowShown="0">
  <autoFilter ref="E23:F43" xr:uid="{5A59C9FA-00A8-4C56-B803-E213156FD669}"/>
  <tableColumns count="2">
    <tableColumn id="1" xr3:uid="{044F1DE0-767C-43F4-BC0E-38D25DDABB59}" name="Q.NO"/>
    <tableColumn id="2" xr3:uid="{4496A749-87E7-459C-9879-94EFFDA3A155}" name="ANSWER" dataDxfId="0">
      <calculatedColumnFormula array="1">SUMIF(Table1[Medication_Cost],Table1[Department])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tabSelected="1" topLeftCell="A19" zoomScale="70" zoomScaleNormal="70" workbookViewId="0">
      <selection activeCell="F44" sqref="F44"/>
    </sheetView>
  </sheetViews>
  <sheetFormatPr baseColWidth="10" defaultColWidth="8.83203125" defaultRowHeight="15" x14ac:dyDescent="0.2"/>
  <cols>
    <col min="1" max="1" width="19.5" customWidth="1"/>
    <col min="2" max="2" width="20.5" customWidth="1"/>
    <col min="3" max="3" width="10.5" customWidth="1"/>
    <col min="4" max="4" width="15.83203125" customWidth="1"/>
    <col min="5" max="5" width="20.33203125" customWidth="1"/>
    <col min="6" max="6" width="13.33203125" customWidth="1"/>
    <col min="7" max="7" width="18.33203125" customWidth="1"/>
    <col min="8" max="8" width="16.83203125" customWidth="1"/>
    <col min="9" max="9" width="27.33203125" customWidth="1"/>
    <col min="10" max="10" width="27.6640625" customWidth="1"/>
    <col min="11" max="11" width="23.5" customWidth="1"/>
    <col min="12" max="12" width="15.1640625" customWidth="1"/>
    <col min="13" max="13" width="20" customWidth="1"/>
    <col min="14" max="14" width="15.5" customWidth="1"/>
    <col min="15" max="15" width="24" customWidth="1"/>
    <col min="16" max="16" width="15.5" customWidth="1"/>
    <col min="17" max="17" width="16" customWidth="1"/>
    <col min="18" max="18" width="17.5" customWidth="1"/>
    <col min="19" max="19" width="20.332031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41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</row>
    <row r="2" spans="1:20" x14ac:dyDescent="0.2">
      <c r="A2">
        <v>1001</v>
      </c>
      <c r="B2" t="s">
        <v>11</v>
      </c>
      <c r="C2">
        <v>34</v>
      </c>
      <c r="D2" t="s">
        <v>26</v>
      </c>
      <c r="E2" t="s">
        <v>28</v>
      </c>
      <c r="F2">
        <v>5</v>
      </c>
      <c r="G2">
        <v>1200</v>
      </c>
      <c r="H2">
        <v>800</v>
      </c>
      <c r="I2">
        <v>1500</v>
      </c>
      <c r="J2" t="s">
        <v>33</v>
      </c>
      <c r="K2" t="s">
        <v>33</v>
      </c>
      <c r="L2">
        <f>SUM(Table1[[#This Row],[Medication_Cost]],Table1[[#This Row],[Lab_Cost]],Table1[[#This Row],[Room_Cost_Per_Day]])</f>
        <v>3500</v>
      </c>
      <c r="M2">
        <f>Table1[[#This Row],[Treatment_Days]]*Table1[[#This Row],[Room_Cost_Per_Day]]</f>
        <v>7500</v>
      </c>
      <c r="N2" t="str">
        <f>IF(Table1[[#This Row],[Age]]&lt;60,"adult","senior citizen")</f>
        <v>adult</v>
      </c>
      <c r="O2" t="str">
        <f>IF(Table1[[#This Row],[Treatment_Days]]&gt;=7,"long tretment","short tretment")</f>
        <v>short tretment</v>
      </c>
      <c r="P2" t="str">
        <f>IF(Table1[[#This Row],[Medication_Cost]]&gt;=3000,"high medication","normal medication")</f>
        <v>normal medication</v>
      </c>
      <c r="Q2" t="str">
        <f>IF(AND(Table1[[#This Row],[Age]]&gt;=60,Table1[[#This Row],[Treatment_Days]]&gt;=7),"priority patient","Non priority")</f>
        <v>Non priority</v>
      </c>
      <c r="R2" t="str">
        <f>IF(OR(Table1[[#This Row],[Age]]&lt;=30,Table1[[#This Row],[Treatment_Days]]&gt;=10),"Special attention","not special")</f>
        <v>not special</v>
      </c>
      <c r="S2" t="str">
        <f>IF(AND(Table1[[#This Row],[cost of each employee]]&gt;=10000,Table1[[#This Row],[Insurance_Covered]]="Yes"),"insurance benift","not benfit")</f>
        <v>not benfit</v>
      </c>
      <c r="T2" t="str">
        <f>IF(OR(Table1[[#This Row],[Follow_Up_Required]]="Yes",Table1[[#This Row],[Treatment_Days]]&gt;=10),"YES","NO")</f>
        <v>YES</v>
      </c>
    </row>
    <row r="3" spans="1:20" x14ac:dyDescent="0.2">
      <c r="A3">
        <v>1002</v>
      </c>
      <c r="B3" t="s">
        <v>12</v>
      </c>
      <c r="C3">
        <v>52</v>
      </c>
      <c r="D3" t="s">
        <v>27</v>
      </c>
      <c r="E3" t="s">
        <v>29</v>
      </c>
      <c r="F3">
        <v>8</v>
      </c>
      <c r="G3">
        <v>2500</v>
      </c>
      <c r="H3">
        <v>1400</v>
      </c>
      <c r="I3">
        <v>1800</v>
      </c>
      <c r="J3" t="s">
        <v>33</v>
      </c>
      <c r="K3" t="s">
        <v>34</v>
      </c>
      <c r="L3">
        <f>SUM(Table1[[#This Row],[Medication_Cost]],Table1[[#This Row],[Lab_Cost]],Table1[[#This Row],[Room_Cost_Per_Day]])</f>
        <v>5700</v>
      </c>
      <c r="M3">
        <f>Table1[[#This Row],[Treatment_Days]]*Table1[[#This Row],[Room_Cost_Per_Day]]</f>
        <v>14400</v>
      </c>
      <c r="N3" t="str">
        <f>IF(Table1[[#This Row],[Age]]&lt;60,"adult","senior citizen")</f>
        <v>adult</v>
      </c>
      <c r="O3" t="str">
        <f>IF(Table1[[#This Row],[Treatment_Days]]&gt;=7,"long tretment","short tretment")</f>
        <v>long tretment</v>
      </c>
      <c r="P3" t="str">
        <f>IF(Table1[[#This Row],[Medication_Cost]]&gt;=3000,"high medication","normal medication")</f>
        <v>normal medication</v>
      </c>
      <c r="Q3" t="str">
        <f>IF(AND(Table1[[#This Row],[Age]]&gt;=60,Table1[[#This Row],[Treatment_Days]]&gt;=7),"priority patient","Non priority")</f>
        <v>Non priority</v>
      </c>
      <c r="R3" t="str">
        <f>IF(OR(Table1[[#This Row],[Age]]&lt;=30,Table1[[#This Row],[Treatment_Days]]&gt;=10),"Special attention","not special")</f>
        <v>not special</v>
      </c>
      <c r="S3" t="str">
        <f>IF(AND(Table1[[#This Row],[cost of each employee]]&gt;=10000,Table1[[#This Row],[Insurance_Covered]]="Yes"),"insurance benift","not benfit")</f>
        <v>not benfit</v>
      </c>
      <c r="T3" t="str">
        <f>IF(OR(Table1[[#This Row],[Follow_Up_Required]]="Yes",Table1[[#This Row],[Treatment_Days]]&gt;=10),"YES","NO")</f>
        <v>NO</v>
      </c>
    </row>
    <row r="4" spans="1:20" x14ac:dyDescent="0.2">
      <c r="A4">
        <v>1003</v>
      </c>
      <c r="B4" t="s">
        <v>13</v>
      </c>
      <c r="C4">
        <v>27</v>
      </c>
      <c r="D4" t="s">
        <v>26</v>
      </c>
      <c r="E4" t="s">
        <v>30</v>
      </c>
      <c r="F4">
        <v>3</v>
      </c>
      <c r="G4">
        <v>900</v>
      </c>
      <c r="H4">
        <v>500</v>
      </c>
      <c r="I4">
        <v>1200</v>
      </c>
      <c r="J4" t="s">
        <v>34</v>
      </c>
      <c r="K4" t="s">
        <v>33</v>
      </c>
      <c r="L4">
        <f>SUM(Table1[[#This Row],[Medication_Cost]],Table1[[#This Row],[Lab_Cost]],Table1[[#This Row],[Room_Cost_Per_Day]])</f>
        <v>2600</v>
      </c>
      <c r="M4">
        <f>Table1[[#This Row],[Treatment_Days]]*Table1[[#This Row],[Room_Cost_Per_Day]]</f>
        <v>3600</v>
      </c>
      <c r="N4" t="str">
        <f>IF(Table1[[#This Row],[Age]]&lt;60,"adult","senior citizen")</f>
        <v>adult</v>
      </c>
      <c r="O4" t="str">
        <f>IF(Table1[[#This Row],[Treatment_Days]]&gt;=7,"long tretment","short tretment")</f>
        <v>short tretment</v>
      </c>
      <c r="P4" t="str">
        <f>IF(Table1[[#This Row],[Medication_Cost]]&gt;=3000,"high medication","normal medication")</f>
        <v>normal medication</v>
      </c>
      <c r="Q4" t="str">
        <f>IF(AND(Table1[[#This Row],[Age]]&gt;=60,Table1[[#This Row],[Treatment_Days]]&gt;=7),"priority patient","Non priority")</f>
        <v>Non priority</v>
      </c>
      <c r="R4" t="str">
        <f>IF(OR(Table1[[#This Row],[Age]]&lt;=30,Table1[[#This Row],[Treatment_Days]]&gt;=10),"Special attention","not special")</f>
        <v>Special attention</v>
      </c>
      <c r="S4" t="str">
        <f>IF(AND(Table1[[#This Row],[cost of each employee]]&gt;=10000,Table1[[#This Row],[Insurance_Covered]]="Yes"),"insurance benift","not benfit")</f>
        <v>not benfit</v>
      </c>
      <c r="T4" t="str">
        <f>IF(OR(Table1[[#This Row],[Follow_Up_Required]]="Yes",Table1[[#This Row],[Treatment_Days]]&gt;=10),"YES","NO")</f>
        <v>YES</v>
      </c>
    </row>
    <row r="5" spans="1:20" x14ac:dyDescent="0.2">
      <c r="A5">
        <v>1004</v>
      </c>
      <c r="B5" t="s">
        <v>14</v>
      </c>
      <c r="C5">
        <v>68</v>
      </c>
      <c r="D5" t="s">
        <v>27</v>
      </c>
      <c r="E5" t="s">
        <v>28</v>
      </c>
      <c r="F5">
        <v>12</v>
      </c>
      <c r="G5">
        <v>4800</v>
      </c>
      <c r="H5">
        <v>2200</v>
      </c>
      <c r="I5">
        <v>2500</v>
      </c>
      <c r="J5" t="s">
        <v>33</v>
      </c>
      <c r="K5" t="s">
        <v>33</v>
      </c>
      <c r="L5">
        <f>SUM(Table1[[#This Row],[Medication_Cost]],Table1[[#This Row],[Lab_Cost]],Table1[[#This Row],[Room_Cost_Per_Day]])</f>
        <v>9500</v>
      </c>
      <c r="M5">
        <f>Table1[[#This Row],[Treatment_Days]]*Table1[[#This Row],[Room_Cost_Per_Day]]</f>
        <v>30000</v>
      </c>
      <c r="N5" t="str">
        <f>IF(Table1[[#This Row],[Age]]&lt;60,"adult","senior citizen")</f>
        <v>senior citizen</v>
      </c>
      <c r="O5" t="str">
        <f>IF(Table1[[#This Row],[Treatment_Days]]&gt;=7,"long tretment","short tretment")</f>
        <v>long tretment</v>
      </c>
      <c r="P5" t="str">
        <f>IF(Table1[[#This Row],[Medication_Cost]]&gt;=3000,"high medication","normal medication")</f>
        <v>high medication</v>
      </c>
      <c r="Q5" t="str">
        <f>IF(AND(Table1[[#This Row],[Age]]&gt;=60,Table1[[#This Row],[Treatment_Days]]&gt;=7),"priority patient","Non priority")</f>
        <v>priority patient</v>
      </c>
      <c r="R5" t="str">
        <f>IF(OR(Table1[[#This Row],[Age]]&lt;=30,Table1[[#This Row],[Treatment_Days]]&gt;=10),"Special attention","not special")</f>
        <v>Special attention</v>
      </c>
      <c r="S5" t="str">
        <f>IF(AND(Table1[[#This Row],[cost of each employee]]&gt;=10000,Table1[[#This Row],[Insurance_Covered]]="Yes"),"insurance benift","not benfit")</f>
        <v>not benfit</v>
      </c>
      <c r="T5" t="str">
        <f>IF(OR(Table1[[#This Row],[Follow_Up_Required]]="Yes",Table1[[#This Row],[Treatment_Days]]&gt;=10),"YES","NO")</f>
        <v>YES</v>
      </c>
    </row>
    <row r="6" spans="1:20" x14ac:dyDescent="0.2">
      <c r="A6">
        <v>1005</v>
      </c>
      <c r="B6" t="s">
        <v>15</v>
      </c>
      <c r="C6">
        <v>45</v>
      </c>
      <c r="D6" t="s">
        <v>26</v>
      </c>
      <c r="E6" t="s">
        <v>31</v>
      </c>
      <c r="F6">
        <v>7</v>
      </c>
      <c r="G6">
        <v>3200</v>
      </c>
      <c r="H6">
        <v>1600</v>
      </c>
      <c r="I6">
        <v>2000</v>
      </c>
      <c r="J6" t="s">
        <v>33</v>
      </c>
      <c r="K6" t="s">
        <v>34</v>
      </c>
      <c r="L6">
        <f>SUM(Table1[[#This Row],[Medication_Cost]],Table1[[#This Row],[Lab_Cost]],Table1[[#This Row],[Room_Cost_Per_Day]])</f>
        <v>6800</v>
      </c>
      <c r="M6">
        <f>Table1[[#This Row],[Treatment_Days]]*Table1[[#This Row],[Room_Cost_Per_Day]]</f>
        <v>14000</v>
      </c>
      <c r="N6" t="str">
        <f>IF(Table1[[#This Row],[Age]]&lt;60,"adult","senior citizen")</f>
        <v>adult</v>
      </c>
      <c r="O6" t="str">
        <f>IF(Table1[[#This Row],[Treatment_Days]]&gt;=7,"long tretment","short tretment")</f>
        <v>long tretment</v>
      </c>
      <c r="P6" t="str">
        <f>IF(Table1[[#This Row],[Medication_Cost]]&gt;=3000,"high medication","normal medication")</f>
        <v>high medication</v>
      </c>
      <c r="Q6" t="str">
        <f>IF(AND(Table1[[#This Row],[Age]]&gt;=60,Table1[[#This Row],[Treatment_Days]]&gt;=7),"priority patient","Non priority")</f>
        <v>Non priority</v>
      </c>
      <c r="R6" t="str">
        <f>IF(OR(Table1[[#This Row],[Age]]&lt;=30,Table1[[#This Row],[Treatment_Days]]&gt;=10),"Special attention","not special")</f>
        <v>not special</v>
      </c>
      <c r="S6" t="str">
        <f>IF(AND(Table1[[#This Row],[cost of each employee]]&gt;=10000,Table1[[#This Row],[Insurance_Covered]]="Yes"),"insurance benift","not benfit")</f>
        <v>not benfit</v>
      </c>
      <c r="T6" t="str">
        <f>IF(OR(Table1[[#This Row],[Follow_Up_Required]]="Yes",Table1[[#This Row],[Treatment_Days]]&gt;=10),"YES","NO")</f>
        <v>NO</v>
      </c>
    </row>
    <row r="7" spans="1:20" x14ac:dyDescent="0.2">
      <c r="A7">
        <v>1006</v>
      </c>
      <c r="B7" t="s">
        <v>16</v>
      </c>
      <c r="C7">
        <v>39</v>
      </c>
      <c r="D7" t="s">
        <v>27</v>
      </c>
      <c r="E7" t="s">
        <v>32</v>
      </c>
      <c r="F7">
        <v>4</v>
      </c>
      <c r="G7">
        <v>1500</v>
      </c>
      <c r="H7">
        <v>700</v>
      </c>
      <c r="I7">
        <v>1400</v>
      </c>
      <c r="J7" t="s">
        <v>34</v>
      </c>
      <c r="K7" t="s">
        <v>33</v>
      </c>
      <c r="L7">
        <f>SUM(Table1[[#This Row],[Medication_Cost]],Table1[[#This Row],[Lab_Cost]],Table1[[#This Row],[Room_Cost_Per_Day]])</f>
        <v>3600</v>
      </c>
      <c r="M7">
        <f>Table1[[#This Row],[Treatment_Days]]*Table1[[#This Row],[Room_Cost_Per_Day]]</f>
        <v>5600</v>
      </c>
      <c r="N7" t="str">
        <f>IF(Table1[[#This Row],[Age]]&lt;60,"adult","senior citizen")</f>
        <v>adult</v>
      </c>
      <c r="O7" t="str">
        <f>IF(Table1[[#This Row],[Treatment_Days]]&gt;=7,"long tretment","short tretment")</f>
        <v>short tretment</v>
      </c>
      <c r="P7" t="str">
        <f>IF(Table1[[#This Row],[Medication_Cost]]&gt;=3000,"high medication","normal medication")</f>
        <v>normal medication</v>
      </c>
      <c r="Q7" t="str">
        <f>IF(AND(Table1[[#This Row],[Age]]&gt;=60,Table1[[#This Row],[Treatment_Days]]&gt;=7),"priority patient","Non priority")</f>
        <v>Non priority</v>
      </c>
      <c r="R7" t="str">
        <f>IF(OR(Table1[[#This Row],[Age]]&lt;=30,Table1[[#This Row],[Treatment_Days]]&gt;=10),"Special attention","not special")</f>
        <v>not special</v>
      </c>
      <c r="S7" t="str">
        <f>IF(AND(Table1[[#This Row],[cost of each employee]]&gt;=10000,Table1[[#This Row],[Insurance_Covered]]="Yes"),"insurance benift","not benfit")</f>
        <v>not benfit</v>
      </c>
      <c r="T7" t="str">
        <f>IF(OR(Table1[[#This Row],[Follow_Up_Required]]="Yes",Table1[[#This Row],[Treatment_Days]]&gt;=10),"YES","NO")</f>
        <v>YES</v>
      </c>
    </row>
    <row r="8" spans="1:20" x14ac:dyDescent="0.2">
      <c r="A8">
        <v>1007</v>
      </c>
      <c r="B8" t="s">
        <v>17</v>
      </c>
      <c r="C8">
        <v>61</v>
      </c>
      <c r="D8" t="s">
        <v>26</v>
      </c>
      <c r="E8" t="s">
        <v>29</v>
      </c>
      <c r="F8">
        <v>10</v>
      </c>
      <c r="G8">
        <v>3600</v>
      </c>
      <c r="H8">
        <v>1800</v>
      </c>
      <c r="I8">
        <v>2200</v>
      </c>
      <c r="J8" t="s">
        <v>33</v>
      </c>
      <c r="K8" t="s">
        <v>34</v>
      </c>
      <c r="L8">
        <f>SUM(Table1[[#This Row],[Medication_Cost]],Table1[[#This Row],[Lab_Cost]],Table1[[#This Row],[Room_Cost_Per_Day]])</f>
        <v>7600</v>
      </c>
      <c r="M8">
        <f>Table1[[#This Row],[Treatment_Days]]*Table1[[#This Row],[Room_Cost_Per_Day]]</f>
        <v>22000</v>
      </c>
      <c r="N8" t="str">
        <f>IF(Table1[[#This Row],[Age]]&lt;60,"adult","senior citizen")</f>
        <v>senior citizen</v>
      </c>
      <c r="O8" t="str">
        <f>IF(Table1[[#This Row],[Treatment_Days]]&gt;=7,"long tretment","short tretment")</f>
        <v>long tretment</v>
      </c>
      <c r="P8" t="str">
        <f>IF(Table1[[#This Row],[Medication_Cost]]&gt;=3000,"high medication","normal medication")</f>
        <v>high medication</v>
      </c>
      <c r="Q8" t="str">
        <f>IF(AND(Table1[[#This Row],[Age]]&gt;=60,Table1[[#This Row],[Treatment_Days]]&gt;=7),"priority patient","Non priority")</f>
        <v>priority patient</v>
      </c>
      <c r="R8" t="str">
        <f>IF(OR(Table1[[#This Row],[Age]]&lt;=30,Table1[[#This Row],[Treatment_Days]]&gt;=10),"Special attention","not special")</f>
        <v>Special attention</v>
      </c>
      <c r="S8" t="str">
        <f>IF(AND(Table1[[#This Row],[cost of each employee]]&gt;=10000,Table1[[#This Row],[Insurance_Covered]]="Yes"),"insurance benift","not benfit")</f>
        <v>not benfit</v>
      </c>
      <c r="T8" t="str">
        <f>IF(OR(Table1[[#This Row],[Follow_Up_Required]]="Yes",Table1[[#This Row],[Treatment_Days]]&gt;=10),"YES","NO")</f>
        <v>YES</v>
      </c>
    </row>
    <row r="9" spans="1:20" x14ac:dyDescent="0.2">
      <c r="A9">
        <v>1008</v>
      </c>
      <c r="B9" t="s">
        <v>18</v>
      </c>
      <c r="C9">
        <v>23</v>
      </c>
      <c r="D9" t="s">
        <v>27</v>
      </c>
      <c r="E9" t="s">
        <v>30</v>
      </c>
      <c r="F9">
        <v>2</v>
      </c>
      <c r="G9">
        <v>700</v>
      </c>
      <c r="H9">
        <v>400</v>
      </c>
      <c r="I9">
        <v>1000</v>
      </c>
      <c r="J9" t="s">
        <v>34</v>
      </c>
      <c r="K9" t="s">
        <v>33</v>
      </c>
      <c r="L9">
        <f>SUM(Table1[[#This Row],[Medication_Cost]],Table1[[#This Row],[Lab_Cost]],Table1[[#This Row],[Room_Cost_Per_Day]])</f>
        <v>2100</v>
      </c>
      <c r="M9">
        <f>Table1[[#This Row],[Treatment_Days]]*Table1[[#This Row],[Room_Cost_Per_Day]]</f>
        <v>2000</v>
      </c>
      <c r="N9" t="str">
        <f>IF(Table1[[#This Row],[Age]]&lt;60,"adult","senior citizen")</f>
        <v>adult</v>
      </c>
      <c r="O9" t="str">
        <f>IF(Table1[[#This Row],[Treatment_Days]]&gt;=7,"long tretment","short tretment")</f>
        <v>short tretment</v>
      </c>
      <c r="P9" t="str">
        <f>IF(Table1[[#This Row],[Medication_Cost]]&gt;=3000,"high medication","normal medication")</f>
        <v>normal medication</v>
      </c>
      <c r="Q9" t="str">
        <f>IF(AND(Table1[[#This Row],[Age]]&gt;=60,Table1[[#This Row],[Treatment_Days]]&gt;=7),"priority patient","Non priority")</f>
        <v>Non priority</v>
      </c>
      <c r="R9" t="str">
        <f>IF(OR(Table1[[#This Row],[Age]]&lt;=30,Table1[[#This Row],[Treatment_Days]]&gt;=10),"Special attention","not special")</f>
        <v>Special attention</v>
      </c>
      <c r="S9" t="str">
        <f>IF(AND(Table1[[#This Row],[cost of each employee]]&gt;=10000,Table1[[#This Row],[Insurance_Covered]]="Yes"),"insurance benift","not benfit")</f>
        <v>not benfit</v>
      </c>
      <c r="T9" t="str">
        <f>IF(OR(Table1[[#This Row],[Follow_Up_Required]]="Yes",Table1[[#This Row],[Treatment_Days]]&gt;=10),"YES","NO")</f>
        <v>YES</v>
      </c>
    </row>
    <row r="10" spans="1:20" x14ac:dyDescent="0.2">
      <c r="A10">
        <v>1009</v>
      </c>
      <c r="B10" t="s">
        <v>19</v>
      </c>
      <c r="C10">
        <v>57</v>
      </c>
      <c r="D10" t="s">
        <v>26</v>
      </c>
      <c r="E10" t="s">
        <v>28</v>
      </c>
      <c r="F10">
        <v>9</v>
      </c>
      <c r="G10">
        <v>4100</v>
      </c>
      <c r="H10">
        <v>2100</v>
      </c>
      <c r="I10">
        <v>2300</v>
      </c>
      <c r="J10" t="s">
        <v>33</v>
      </c>
      <c r="K10" t="s">
        <v>33</v>
      </c>
      <c r="L10">
        <f>SUM(Table1[[#This Row],[Medication_Cost]],Table1[[#This Row],[Lab_Cost]],Table1[[#This Row],[Room_Cost_Per_Day]])</f>
        <v>8500</v>
      </c>
      <c r="M10">
        <f>Table1[[#This Row],[Treatment_Days]]*Table1[[#This Row],[Room_Cost_Per_Day]]</f>
        <v>20700</v>
      </c>
      <c r="N10" t="str">
        <f>IF(Table1[[#This Row],[Age]]&lt;60,"adult","senior citizen")</f>
        <v>adult</v>
      </c>
      <c r="O10" t="str">
        <f>IF(Table1[[#This Row],[Treatment_Days]]&gt;=7,"long tretment","short tretment")</f>
        <v>long tretment</v>
      </c>
      <c r="P10" t="str">
        <f>IF(Table1[[#This Row],[Medication_Cost]]&gt;=3000,"high medication","normal medication")</f>
        <v>high medication</v>
      </c>
      <c r="Q10" t="str">
        <f>IF(AND(Table1[[#This Row],[Age]]&gt;=60,Table1[[#This Row],[Treatment_Days]]&gt;=7),"priority patient","Non priority")</f>
        <v>Non priority</v>
      </c>
      <c r="R10" t="str">
        <f>IF(OR(Table1[[#This Row],[Age]]&lt;=30,Table1[[#This Row],[Treatment_Days]]&gt;=10),"Special attention","not special")</f>
        <v>not special</v>
      </c>
      <c r="S10" t="str">
        <f>IF(AND(Table1[[#This Row],[cost of each employee]]&gt;=10000,Table1[[#This Row],[Insurance_Covered]]="Yes"),"insurance benift","not benfit")</f>
        <v>not benfit</v>
      </c>
      <c r="T10" t="str">
        <f>IF(OR(Table1[[#This Row],[Follow_Up_Required]]="Yes",Table1[[#This Row],[Treatment_Days]]&gt;=10),"YES","NO")</f>
        <v>YES</v>
      </c>
    </row>
    <row r="11" spans="1:20" x14ac:dyDescent="0.2">
      <c r="A11">
        <v>1010</v>
      </c>
      <c r="B11" t="s">
        <v>20</v>
      </c>
      <c r="C11">
        <v>72</v>
      </c>
      <c r="D11" t="s">
        <v>27</v>
      </c>
      <c r="E11" t="s">
        <v>31</v>
      </c>
      <c r="F11">
        <v>14</v>
      </c>
      <c r="G11">
        <v>5200</v>
      </c>
      <c r="H11">
        <v>2600</v>
      </c>
      <c r="I11">
        <v>2800</v>
      </c>
      <c r="J11" t="s">
        <v>33</v>
      </c>
      <c r="K11" t="s">
        <v>33</v>
      </c>
      <c r="L11">
        <f>SUM(Table1[[#This Row],[Medication_Cost]],Table1[[#This Row],[Lab_Cost]],Table1[[#This Row],[Room_Cost_Per_Day]])</f>
        <v>10600</v>
      </c>
      <c r="M11">
        <f>Table1[[#This Row],[Treatment_Days]]*Table1[[#This Row],[Room_Cost_Per_Day]]</f>
        <v>39200</v>
      </c>
      <c r="N11" t="str">
        <f>IF(Table1[[#This Row],[Age]]&lt;60,"adult","senior citizen")</f>
        <v>senior citizen</v>
      </c>
      <c r="O11" t="str">
        <f>IF(Table1[[#This Row],[Treatment_Days]]&gt;=7,"long tretment","short tretment")</f>
        <v>long tretment</v>
      </c>
      <c r="P11" t="str">
        <f>IF(Table1[[#This Row],[Medication_Cost]]&gt;=3000,"high medication","normal medication")</f>
        <v>high medication</v>
      </c>
      <c r="Q11" t="str">
        <f>IF(AND(Table1[[#This Row],[Age]]&gt;=60,Table1[[#This Row],[Treatment_Days]]&gt;=7),"priority patient","Non priority")</f>
        <v>priority patient</v>
      </c>
      <c r="R11" t="str">
        <f>IF(OR(Table1[[#This Row],[Age]]&lt;=30,Table1[[#This Row],[Treatment_Days]]&gt;=10),"Special attention","not special")</f>
        <v>Special attention</v>
      </c>
      <c r="S11" t="str">
        <f>IF(AND(Table1[[#This Row],[cost of each employee]]&gt;=10000,Table1[[#This Row],[Insurance_Covered]]="Yes"),"insurance benift","not benfit")</f>
        <v>insurance benift</v>
      </c>
      <c r="T11" t="str">
        <f>IF(OR(Table1[[#This Row],[Follow_Up_Required]]="Yes",Table1[[#This Row],[Treatment_Days]]&gt;=10),"YES","NO")</f>
        <v>YES</v>
      </c>
    </row>
    <row r="12" spans="1:20" x14ac:dyDescent="0.2">
      <c r="A12">
        <v>1011</v>
      </c>
      <c r="B12" t="s">
        <v>21</v>
      </c>
      <c r="C12">
        <v>31</v>
      </c>
      <c r="D12" t="s">
        <v>26</v>
      </c>
      <c r="E12" t="s">
        <v>32</v>
      </c>
      <c r="F12">
        <v>6</v>
      </c>
      <c r="G12">
        <v>1800</v>
      </c>
      <c r="H12">
        <v>900</v>
      </c>
      <c r="I12">
        <v>1300</v>
      </c>
      <c r="J12" t="s">
        <v>34</v>
      </c>
      <c r="K12" t="s">
        <v>34</v>
      </c>
      <c r="L12">
        <f>SUM(Table1[[#This Row],[Medication_Cost]],Table1[[#This Row],[Lab_Cost]],Table1[[#This Row],[Room_Cost_Per_Day]])</f>
        <v>4000</v>
      </c>
      <c r="M12">
        <f>Table1[[#This Row],[Treatment_Days]]*Table1[[#This Row],[Room_Cost_Per_Day]]</f>
        <v>7800</v>
      </c>
      <c r="N12" t="str">
        <f>IF(Table1[[#This Row],[Age]]&lt;60,"adult","senior citizen")</f>
        <v>adult</v>
      </c>
      <c r="O12" t="str">
        <f>IF(Table1[[#This Row],[Treatment_Days]]&gt;=7,"long tretment","short tretment")</f>
        <v>short tretment</v>
      </c>
      <c r="P12" t="str">
        <f>IF(Table1[[#This Row],[Medication_Cost]]&gt;=3000,"high medication","normal medication")</f>
        <v>normal medication</v>
      </c>
      <c r="Q12" t="str">
        <f>IF(AND(Table1[[#This Row],[Age]]&gt;=60,Table1[[#This Row],[Treatment_Days]]&gt;=7),"priority patient","Non priority")</f>
        <v>Non priority</v>
      </c>
      <c r="R12" t="str">
        <f>IF(OR(Table1[[#This Row],[Age]]&lt;=30,Table1[[#This Row],[Treatment_Days]]&gt;=10),"Special attention","not special")</f>
        <v>not special</v>
      </c>
      <c r="S12" t="str">
        <f>IF(AND(Table1[[#This Row],[cost of each employee]]&gt;=10000,Table1[[#This Row],[Insurance_Covered]]="Yes"),"insurance benift","not benfit")</f>
        <v>not benfit</v>
      </c>
      <c r="T12" t="str">
        <f>IF(OR(Table1[[#This Row],[Follow_Up_Required]]="Yes",Table1[[#This Row],[Treatment_Days]]&gt;=10),"YES","NO")</f>
        <v>NO</v>
      </c>
    </row>
    <row r="13" spans="1:20" x14ac:dyDescent="0.2">
      <c r="A13">
        <v>1012</v>
      </c>
      <c r="B13" t="s">
        <v>22</v>
      </c>
      <c r="C13">
        <v>48</v>
      </c>
      <c r="D13" t="s">
        <v>27</v>
      </c>
      <c r="E13" t="s">
        <v>28</v>
      </c>
      <c r="F13">
        <v>11</v>
      </c>
      <c r="G13">
        <v>4500</v>
      </c>
      <c r="H13">
        <v>1900</v>
      </c>
      <c r="I13">
        <v>2400</v>
      </c>
      <c r="J13" t="s">
        <v>33</v>
      </c>
      <c r="K13" t="s">
        <v>33</v>
      </c>
      <c r="L13">
        <f>SUM(Table1[[#This Row],[Medication_Cost]],Table1[[#This Row],[Lab_Cost]],Table1[[#This Row],[Room_Cost_Per_Day]])</f>
        <v>8800</v>
      </c>
      <c r="M13">
        <f>Table1[[#This Row],[Treatment_Days]]*Table1[[#This Row],[Room_Cost_Per_Day]]</f>
        <v>26400</v>
      </c>
      <c r="N13" t="str">
        <f>IF(Table1[[#This Row],[Age]]&lt;60,"adult","senior citizen")</f>
        <v>adult</v>
      </c>
      <c r="O13" t="str">
        <f>IF(Table1[[#This Row],[Treatment_Days]]&gt;=7,"long tretment","short tretment")</f>
        <v>long tretment</v>
      </c>
      <c r="P13" t="str">
        <f>IF(Table1[[#This Row],[Medication_Cost]]&gt;=3000,"high medication","normal medication")</f>
        <v>high medication</v>
      </c>
      <c r="Q13" t="str">
        <f>IF(AND(Table1[[#This Row],[Age]]&gt;=60,Table1[[#This Row],[Treatment_Days]]&gt;=7),"priority patient","Non priority")</f>
        <v>Non priority</v>
      </c>
      <c r="R13" t="str">
        <f>IF(OR(Table1[[#This Row],[Age]]&lt;=30,Table1[[#This Row],[Treatment_Days]]&gt;=10),"Special attention","not special")</f>
        <v>Special attention</v>
      </c>
      <c r="S13" t="str">
        <f>IF(AND(Table1[[#This Row],[cost of each employee]]&gt;=10000,Table1[[#This Row],[Insurance_Covered]]="Yes"),"insurance benift","not benfit")</f>
        <v>not benfit</v>
      </c>
      <c r="T13" t="str">
        <f>IF(OR(Table1[[#This Row],[Follow_Up_Required]]="Yes",Table1[[#This Row],[Treatment_Days]]&gt;=10),"YES","NO")</f>
        <v>YES</v>
      </c>
    </row>
    <row r="14" spans="1:20" x14ac:dyDescent="0.2">
      <c r="A14">
        <v>1013</v>
      </c>
      <c r="B14" t="s">
        <v>23</v>
      </c>
      <c r="C14">
        <v>66</v>
      </c>
      <c r="D14" t="s">
        <v>26</v>
      </c>
      <c r="E14" t="s">
        <v>29</v>
      </c>
      <c r="F14">
        <v>13</v>
      </c>
      <c r="G14">
        <v>3900</v>
      </c>
      <c r="H14">
        <v>2300</v>
      </c>
      <c r="I14">
        <v>2100</v>
      </c>
      <c r="J14" t="s">
        <v>33</v>
      </c>
      <c r="K14" t="s">
        <v>34</v>
      </c>
      <c r="L14">
        <f>SUM(Table1[[#This Row],[Medication_Cost]],Table1[[#This Row],[Lab_Cost]],Table1[[#This Row],[Room_Cost_Per_Day]])</f>
        <v>8300</v>
      </c>
      <c r="M14">
        <f>Table1[[#This Row],[Treatment_Days]]*Table1[[#This Row],[Room_Cost_Per_Day]]</f>
        <v>27300</v>
      </c>
      <c r="N14" t="str">
        <f>IF(Table1[[#This Row],[Age]]&lt;60,"adult","senior citizen")</f>
        <v>senior citizen</v>
      </c>
      <c r="O14" t="str">
        <f>IF(Table1[[#This Row],[Treatment_Days]]&gt;=7,"long tretment","short tretment")</f>
        <v>long tretment</v>
      </c>
      <c r="P14" t="str">
        <f>IF(Table1[[#This Row],[Medication_Cost]]&gt;=3000,"high medication","normal medication")</f>
        <v>high medication</v>
      </c>
      <c r="Q14" t="str">
        <f>IF(AND(Table1[[#This Row],[Age]]&gt;=60,Table1[[#This Row],[Treatment_Days]]&gt;=7),"priority patient","Non priority")</f>
        <v>priority patient</v>
      </c>
      <c r="R14" t="str">
        <f>IF(OR(Table1[[#This Row],[Age]]&lt;=30,Table1[[#This Row],[Treatment_Days]]&gt;=10),"Special attention","not special")</f>
        <v>Special attention</v>
      </c>
      <c r="S14" t="str">
        <f>IF(AND(Table1[[#This Row],[cost of each employee]]&gt;=10000,Table1[[#This Row],[Insurance_Covered]]="Yes"),"insurance benift","not benfit")</f>
        <v>not benfit</v>
      </c>
      <c r="T14" t="str">
        <f>IF(OR(Table1[[#This Row],[Follow_Up_Required]]="Yes",Table1[[#This Row],[Treatment_Days]]&gt;=10),"YES","NO")</f>
        <v>YES</v>
      </c>
    </row>
    <row r="15" spans="1:20" x14ac:dyDescent="0.2">
      <c r="A15">
        <v>1014</v>
      </c>
      <c r="B15" t="s">
        <v>24</v>
      </c>
      <c r="C15">
        <v>29</v>
      </c>
      <c r="D15" t="s">
        <v>27</v>
      </c>
      <c r="E15" t="s">
        <v>32</v>
      </c>
      <c r="F15">
        <v>3</v>
      </c>
      <c r="G15">
        <v>1100</v>
      </c>
      <c r="H15">
        <v>600</v>
      </c>
      <c r="I15">
        <v>1100</v>
      </c>
      <c r="J15" t="s">
        <v>34</v>
      </c>
      <c r="K15" t="s">
        <v>34</v>
      </c>
      <c r="L15">
        <f>SUM(Table1[[#This Row],[Medication_Cost]],Table1[[#This Row],[Lab_Cost]],Table1[[#This Row],[Room_Cost_Per_Day]])</f>
        <v>2800</v>
      </c>
      <c r="M15">
        <f>Table1[[#This Row],[Treatment_Days]]*Table1[[#This Row],[Room_Cost_Per_Day]]</f>
        <v>3300</v>
      </c>
      <c r="N15" t="str">
        <f>IF(Table1[[#This Row],[Age]]&lt;60,"adult","senior citizen")</f>
        <v>adult</v>
      </c>
      <c r="O15" t="str">
        <f>IF(Table1[[#This Row],[Treatment_Days]]&gt;=7,"long tretment","short tretment")</f>
        <v>short tretment</v>
      </c>
      <c r="P15" t="str">
        <f>IF(Table1[[#This Row],[Medication_Cost]]&gt;=3000,"high medication","normal medication")</f>
        <v>normal medication</v>
      </c>
      <c r="Q15" t="str">
        <f>IF(AND(Table1[[#This Row],[Age]]&gt;=60,Table1[[#This Row],[Treatment_Days]]&gt;=7),"priority patient","Non priority")</f>
        <v>Non priority</v>
      </c>
      <c r="R15" t="str">
        <f>IF(OR(Table1[[#This Row],[Age]]&lt;=30,Table1[[#This Row],[Treatment_Days]]&gt;=10),"Special attention","not special")</f>
        <v>Special attention</v>
      </c>
      <c r="S15" t="str">
        <f>IF(AND(Table1[[#This Row],[cost of each employee]]&gt;=10000,Table1[[#This Row],[Insurance_Covered]]="Yes"),"insurance benift","not benfit")</f>
        <v>not benfit</v>
      </c>
      <c r="T15" t="str">
        <f>IF(OR(Table1[[#This Row],[Follow_Up_Required]]="Yes",Table1[[#This Row],[Treatment_Days]]&gt;=10),"YES","NO")</f>
        <v>NO</v>
      </c>
    </row>
    <row r="16" spans="1:20" x14ac:dyDescent="0.2">
      <c r="A16">
        <v>1015</v>
      </c>
      <c r="B16" t="s">
        <v>25</v>
      </c>
      <c r="C16">
        <v>54</v>
      </c>
      <c r="D16" t="s">
        <v>26</v>
      </c>
      <c r="E16" t="s">
        <v>31</v>
      </c>
      <c r="F16">
        <v>8</v>
      </c>
      <c r="G16">
        <v>2800</v>
      </c>
      <c r="H16">
        <v>1500</v>
      </c>
      <c r="I16">
        <v>1900</v>
      </c>
      <c r="J16" t="s">
        <v>33</v>
      </c>
      <c r="K16" t="s">
        <v>33</v>
      </c>
      <c r="L16">
        <f>SUM(Table1[[#This Row],[Medication_Cost]],Table1[[#This Row],[Lab_Cost]],Table1[[#This Row],[Room_Cost_Per_Day]])</f>
        <v>6200</v>
      </c>
      <c r="M16">
        <f>Table1[[#This Row],[Treatment_Days]]*Table1[[#This Row],[Room_Cost_Per_Day]]</f>
        <v>15200</v>
      </c>
      <c r="N16" t="str">
        <f>IF(Table1[[#This Row],[Age]]&lt;60,"adult","senior citizen")</f>
        <v>adult</v>
      </c>
      <c r="O16" t="str">
        <f>IF(Table1[[#This Row],[Treatment_Days]]&gt;=7,"long tretment","short tretment")</f>
        <v>long tretment</v>
      </c>
      <c r="P16" t="str">
        <f>IF(Table1[[#This Row],[Medication_Cost]]&gt;=3000,"high medication","normal medication")</f>
        <v>normal medication</v>
      </c>
      <c r="Q16" t="str">
        <f>IF(AND(Table1[[#This Row],[Age]]&gt;=60,Table1[[#This Row],[Treatment_Days]]&gt;=7),"priority patient","Non priority")</f>
        <v>Non priority</v>
      </c>
      <c r="R16" t="str">
        <f>IF(OR(Table1[[#This Row],[Age]]&lt;=30,Table1[[#This Row],[Treatment_Days]]&gt;=10),"Special attention","not special")</f>
        <v>not special</v>
      </c>
      <c r="S16" t="str">
        <f>IF(AND(Table1[[#This Row],[cost of each employee]]&gt;=10000,Table1[[#This Row],[Insurance_Covered]]="Yes"),"insurance benift","not benfit")</f>
        <v>not benfit</v>
      </c>
      <c r="T16" t="str">
        <f>IF(OR(Table1[[#This Row],[Follow_Up_Required]]="Yes",Table1[[#This Row],[Treatment_Days]]&gt;=10),"YES","NO")</f>
        <v>YES</v>
      </c>
    </row>
    <row r="23" spans="1:6" x14ac:dyDescent="0.2">
      <c r="A23" t="s">
        <v>53</v>
      </c>
      <c r="B23" t="s">
        <v>54</v>
      </c>
      <c r="C23" t="s">
        <v>55</v>
      </c>
      <c r="E23" t="s">
        <v>56</v>
      </c>
      <c r="F23" t="s">
        <v>57</v>
      </c>
    </row>
    <row r="24" spans="1:6" x14ac:dyDescent="0.2">
      <c r="A24">
        <v>1</v>
      </c>
      <c r="B24" t="s">
        <v>35</v>
      </c>
      <c r="C24">
        <f>MAX(C2:C16)</f>
        <v>72</v>
      </c>
      <c r="E24">
        <v>1</v>
      </c>
      <c r="F24">
        <f>SUMIF(Table1[Department],E2,Table1[Medication_Cost])</f>
        <v>14600</v>
      </c>
    </row>
    <row r="25" spans="1:6" x14ac:dyDescent="0.2">
      <c r="A25">
        <v>2</v>
      </c>
      <c r="B25" t="s">
        <v>36</v>
      </c>
      <c r="C25">
        <f>MIN(F2:F16)</f>
        <v>2</v>
      </c>
      <c r="E25">
        <v>2</v>
      </c>
      <c r="F25">
        <f>SUMIF(Table1[Insurance_Covered],J2,Table1[Lab_Cost])</f>
        <v>18200</v>
      </c>
    </row>
    <row r="26" spans="1:6" x14ac:dyDescent="0.2">
      <c r="A26">
        <v>3</v>
      </c>
      <c r="B26" t="s">
        <v>37</v>
      </c>
      <c r="C26">
        <f>MAX(F2:F16)</f>
        <v>14</v>
      </c>
      <c r="E26">
        <v>3</v>
      </c>
      <c r="F26">
        <f>SUMIF(Table1[Gender],D2,Table1[Treatment_Days])</f>
        <v>61</v>
      </c>
    </row>
    <row r="27" spans="1:6" x14ac:dyDescent="0.2">
      <c r="A27">
        <v>4</v>
      </c>
      <c r="B27" t="s">
        <v>38</v>
      </c>
      <c r="C27">
        <f>SUM(G2:G16)</f>
        <v>41800</v>
      </c>
      <c r="E27">
        <v>4</v>
      </c>
      <c r="F27">
        <f>AVERAGEIF(Table1[Department],E2,Table1[Age])</f>
        <v>51.75</v>
      </c>
    </row>
    <row r="28" spans="1:6" x14ac:dyDescent="0.2">
      <c r="A28">
        <v>5</v>
      </c>
      <c r="B28" t="s">
        <v>39</v>
      </c>
      <c r="C28">
        <f>SUM(H2:H16)</f>
        <v>21300</v>
      </c>
      <c r="E28">
        <v>5</v>
      </c>
      <c r="F28">
        <f>AVERAGEIF(Table1[Insurance_Covered],"YES",Table1[Treatment_Days])</f>
        <v>9.6999999999999993</v>
      </c>
    </row>
    <row r="29" spans="1:6" x14ac:dyDescent="0.2">
      <c r="A29">
        <v>6</v>
      </c>
      <c r="B29" t="s">
        <v>40</v>
      </c>
      <c r="C29">
        <f>SUM(F2:F16)</f>
        <v>115</v>
      </c>
      <c r="E29">
        <v>6</v>
      </c>
      <c r="F29">
        <f>AVERAGEIF(Table1[Gender],D2,Table1[Medication_Cost])</f>
        <v>2687.5</v>
      </c>
    </row>
    <row r="30" spans="1:6" x14ac:dyDescent="0.2">
      <c r="A30">
        <v>8</v>
      </c>
      <c r="B30" t="s">
        <v>42</v>
      </c>
      <c r="C30">
        <f>COUNTA(B2:B16)</f>
        <v>15</v>
      </c>
      <c r="E30">
        <v>7</v>
      </c>
      <c r="F30">
        <f>COUNTIF(Table1[Department],E2)</f>
        <v>4</v>
      </c>
    </row>
    <row r="31" spans="1:6" x14ac:dyDescent="0.2">
      <c r="A31">
        <v>9</v>
      </c>
      <c r="B31" t="s">
        <v>43</v>
      </c>
      <c r="C31">
        <f>COUNTIF(E2:E16,E2)</f>
        <v>4</v>
      </c>
      <c r="E31">
        <v>8</v>
      </c>
      <c r="F31">
        <f>COUNTIF(Table1[Insurance_Covered],J2)</f>
        <v>10</v>
      </c>
    </row>
    <row r="32" spans="1:6" x14ac:dyDescent="0.2">
      <c r="A32">
        <v>10</v>
      </c>
      <c r="B32" t="s">
        <v>44</v>
      </c>
      <c r="C32">
        <f>COUNTIF(J2:J16,J2)</f>
        <v>10</v>
      </c>
      <c r="E32">
        <v>9</v>
      </c>
      <c r="F32">
        <f>COUNTIF(Table1[Follow_Up_Required],K2)</f>
        <v>9</v>
      </c>
    </row>
    <row r="33" spans="5:6" x14ac:dyDescent="0.2">
      <c r="E33">
        <v>10</v>
      </c>
      <c r="F33">
        <f>SUMIFS(Table1[Medication_Cost],Table1[Gender],D2,Table1[Department],E2)</f>
        <v>5300</v>
      </c>
    </row>
    <row r="34" spans="5:6" x14ac:dyDescent="0.2">
      <c r="E34">
        <v>11</v>
      </c>
      <c r="F34">
        <f>SUMIFS(Table1[Lab_Cost],Table1[Insurance_Covered],"Yes",Table1[Follow_Up_Required],"Yes")</f>
        <v>11100</v>
      </c>
    </row>
    <row r="35" spans="5:6" x14ac:dyDescent="0.2">
      <c r="E35">
        <v>12</v>
      </c>
      <c r="F35">
        <f>SUMIFS(Table1[Treatment_Days],Table1[Gender],D3,Table1[Department],E3)</f>
        <v>8</v>
      </c>
    </row>
    <row r="36" spans="5:6" x14ac:dyDescent="0.2">
      <c r="E36">
        <v>13</v>
      </c>
      <c r="F36">
        <f>COUNTIFS(Table1[Gender],D10,Table1[Department],E2)</f>
        <v>2</v>
      </c>
    </row>
    <row r="37" spans="5:6" x14ac:dyDescent="0.2">
      <c r="E37">
        <v>14</v>
      </c>
      <c r="F37">
        <f>COUNTIFS(Table1[Insurance_Covered],J11,Table1[Follow_Up_Required],K13)</f>
        <v>6</v>
      </c>
    </row>
    <row r="38" spans="5:6" x14ac:dyDescent="0.2">
      <c r="E38">
        <v>15</v>
      </c>
      <c r="F38">
        <f>COUNTIFS(Table1[Department],E6,Table1[Treatment_Days],"&gt;7")</f>
        <v>2</v>
      </c>
    </row>
    <row r="39" spans="5:6" x14ac:dyDescent="0.2">
      <c r="E39">
        <v>16</v>
      </c>
      <c r="F39">
        <f>AVERAGEIFS(Table1[Medication_Cost],Table1[Gender],D16,Table1[Department],E2)</f>
        <v>2650</v>
      </c>
    </row>
    <row r="40" spans="5:6" x14ac:dyDescent="0.2">
      <c r="E40">
        <v>17</v>
      </c>
      <c r="F40" s="3">
        <f>AVERAGEIFS(Table1[Treatment_Days],Table1[Insurance_Covered],J2,Table1[Follow_Up_Required],K16)</f>
        <v>9.8333333333333339</v>
      </c>
    </row>
    <row r="41" spans="5:6" x14ac:dyDescent="0.2">
      <c r="E41">
        <v>18</v>
      </c>
      <c r="F41">
        <f>_xlfn.MAXIFS(Table1[Medication_Cost],Table1[Department],E2)</f>
        <v>4800</v>
      </c>
    </row>
    <row r="42" spans="5:6" x14ac:dyDescent="0.2">
      <c r="E42">
        <v>19</v>
      </c>
      <c r="F42">
        <f>_xlfn.MAXIFS(Table1[Treatment_Days],Table1[Insurance_Covered],J8)</f>
        <v>14</v>
      </c>
    </row>
    <row r="43" spans="5:6" x14ac:dyDescent="0.2">
      <c r="E43">
        <v>20</v>
      </c>
      <c r="F43">
        <f>_xlfn.MINIFS(Table1[Medication_Cost],Table1[Department],E9)</f>
        <v>700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mac</cp:lastModifiedBy>
  <dcterms:created xsi:type="dcterms:W3CDTF">2026-09-08T06:03:13Z</dcterms:created>
  <dcterms:modified xsi:type="dcterms:W3CDTF">2026-10-15T06:04:56Z</dcterms:modified>
</cp:coreProperties>
</file>