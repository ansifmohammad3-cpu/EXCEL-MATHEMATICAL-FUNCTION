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excel works/"/>
    </mc:Choice>
  </mc:AlternateContent>
  <xr:revisionPtr revIDLastSave="0" documentId="8_{5BC4DE37-E908-8C49-8D37-E30477E0E572}" xr6:coauthVersionLast="47" xr6:coauthVersionMax="47" xr10:uidLastSave="{00000000-0000-0000-0000-000000000000}"/>
  <bookViews>
    <workbookView xWindow="0" yWindow="520" windowWidth="26240" windowHeight="16440" xr2:uid="{16A12AD7-D809-460D-924B-A436078971F2}"/>
  </bookViews>
  <sheets>
    <sheet name="DATASET" sheetId="2" r:id="rId1"/>
    <sheet name="NO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P2" i="2"/>
  <c r="P3" i="2"/>
  <c r="P4" i="2"/>
  <c r="P5" i="2"/>
  <c r="P6" i="2"/>
  <c r="P7" i="2"/>
  <c r="P8" i="2"/>
  <c r="P9" i="2"/>
  <c r="P10" i="2"/>
  <c r="P11" i="2"/>
  <c r="O2" i="2"/>
  <c r="O3" i="2"/>
  <c r="O4" i="2"/>
  <c r="O5" i="2"/>
  <c r="O6" i="2"/>
  <c r="O7" i="2"/>
  <c r="O8" i="2"/>
  <c r="O9" i="2"/>
  <c r="O10" i="2"/>
  <c r="O11" i="2"/>
  <c r="N2" i="2"/>
  <c r="N3" i="2"/>
  <c r="N4" i="2"/>
  <c r="N5" i="2"/>
  <c r="N6" i="2"/>
  <c r="N7" i="2"/>
  <c r="N8" i="2"/>
  <c r="N9" i="2"/>
  <c r="N10" i="2"/>
  <c r="N11" i="2"/>
  <c r="M2" i="2"/>
  <c r="M3" i="2"/>
  <c r="M4" i="2"/>
  <c r="M5" i="2"/>
  <c r="M6" i="2"/>
  <c r="M7" i="2"/>
  <c r="M8" i="2"/>
  <c r="M9" i="2"/>
  <c r="M10" i="2"/>
  <c r="M11" i="2"/>
  <c r="L2" i="2"/>
  <c r="L3" i="2"/>
  <c r="L4" i="2"/>
  <c r="L5" i="2"/>
  <c r="L6" i="2"/>
  <c r="L7" i="2"/>
  <c r="L8" i="2"/>
  <c r="L9" i="2"/>
  <c r="L10" i="2"/>
  <c r="L11" i="2"/>
  <c r="K2" i="2"/>
  <c r="K3" i="2"/>
  <c r="K4" i="2"/>
  <c r="K5" i="2"/>
  <c r="K6" i="2"/>
  <c r="K7" i="2"/>
  <c r="K8" i="2"/>
  <c r="K9" i="2"/>
  <c r="K10" i="2"/>
  <c r="K11" i="2"/>
  <c r="J2" i="2"/>
  <c r="J3" i="2"/>
  <c r="J4" i="2"/>
  <c r="J5" i="2"/>
  <c r="J6" i="2"/>
  <c r="J7" i="2"/>
  <c r="J8" i="2"/>
  <c r="J9" i="2"/>
  <c r="J10" i="2"/>
  <c r="J11" i="2"/>
  <c r="I2" i="2"/>
  <c r="I3" i="2"/>
  <c r="I4" i="2"/>
  <c r="I5" i="2"/>
  <c r="I6" i="2"/>
  <c r="I7" i="2"/>
  <c r="I8" i="2"/>
  <c r="I9" i="2"/>
  <c r="I10" i="2"/>
  <c r="I11" i="2"/>
  <c r="H2" i="2"/>
  <c r="H3" i="2"/>
  <c r="H4" i="2"/>
  <c r="H5" i="2"/>
  <c r="H6" i="2"/>
  <c r="H7" i="2"/>
  <c r="H8" i="2"/>
  <c r="H9" i="2"/>
  <c r="H10" i="2"/>
  <c r="H11" i="2"/>
  <c r="G2" i="2"/>
  <c r="G3" i="2"/>
  <c r="G4" i="2"/>
  <c r="G5" i="2"/>
  <c r="G6" i="2"/>
  <c r="G7" i="2"/>
  <c r="G8" i="2"/>
  <c r="G9" i="2"/>
  <c r="G10" i="2"/>
  <c r="G11" i="2"/>
</calcChain>
</file>

<file path=xl/sharedStrings.xml><?xml version="1.0" encoding="utf-8"?>
<sst xmlns="http://schemas.openxmlformats.org/spreadsheetml/2006/main" count="147" uniqueCount="145">
  <si>
    <t>Customer ID</t>
  </si>
  <si>
    <t>Raw Customer Name</t>
  </si>
  <si>
    <t>Email</t>
  </si>
  <si>
    <t>Phone</t>
  </si>
  <si>
    <t>Product Code</t>
  </si>
  <si>
    <t>Address</t>
  </si>
  <si>
    <t>CUST-001</t>
  </si>
  <si>
    <t xml:space="preserve">john smith </t>
  </si>
  <si>
    <t>john.smith@gmail.com</t>
  </si>
  <si>
    <t>LAP-HP-001</t>
  </si>
  <si>
    <t>45 Main Street, Kochi</t>
  </si>
  <si>
    <t>CUST-002</t>
  </si>
  <si>
    <t>mary.john@yahoo.com</t>
  </si>
  <si>
    <t>MOB-SAM-002</t>
  </si>
  <si>
    <t>12 Park Road, Calicut</t>
  </si>
  <si>
    <t>CUST-003</t>
  </si>
  <si>
    <t>rahul kumar</t>
  </si>
  <si>
    <t>rahul.kumar@gmail.com</t>
  </si>
  <si>
    <t>TAB-APP-003</t>
  </si>
  <si>
    <t>78 MG Road, Thrissur</t>
  </si>
  <si>
    <t>CUST-004</t>
  </si>
  <si>
    <t>anjali.nair@outlook.com</t>
  </si>
  <si>
    <t>LAP-DEL-004</t>
  </si>
  <si>
    <t>23 Lake View, Kochi</t>
  </si>
  <si>
    <t>CUST-005</t>
  </si>
  <si>
    <t xml:space="preserve">ahmed ali </t>
  </si>
  <si>
    <t>ahmed.ali@gmail.com</t>
  </si>
  <si>
    <t>MOB-ONE-005</t>
  </si>
  <si>
    <t>89 Market Road, Kannur</t>
  </si>
  <si>
    <t>CUST-006</t>
  </si>
  <si>
    <t>sneha.menon@yahoo.com</t>
  </si>
  <si>
    <t>LAP-LEN-006</t>
  </si>
  <si>
    <t>34 Station Road, Aluva</t>
  </si>
  <si>
    <t>CUST-007</t>
  </si>
  <si>
    <t>arjun das</t>
  </si>
  <si>
    <t>arjun.das@gmail.com</t>
  </si>
  <si>
    <t>TAB-SAM-007</t>
  </si>
  <si>
    <t>56 Beach Road, Kozhikode</t>
  </si>
  <si>
    <t>CUST-008</t>
  </si>
  <si>
    <t xml:space="preserve">FATHIMA KHAN </t>
  </si>
  <si>
    <t>fathima.khan@outlook.com</t>
  </si>
  <si>
    <t>MOB-RED-008</t>
  </si>
  <si>
    <t>90 College Road, Malappuram</t>
  </si>
  <si>
    <t>CUST-009</t>
  </si>
  <si>
    <t xml:space="preserve">vishnu raj </t>
  </si>
  <si>
    <t>vishnu.raj@gmail.com</t>
  </si>
  <si>
    <t>LAP-ASU-009</t>
  </si>
  <si>
    <t>11 Temple Road, Kottayam</t>
  </si>
  <si>
    <t>CUST-010</t>
  </si>
  <si>
    <t>PRIYA SHARMA</t>
  </si>
  <si>
    <t>priya.sharma@yahoo.com</t>
  </si>
  <si>
    <t>MOB-VIV-010</t>
  </si>
  <si>
    <t>67 Hill Road, Ernakulam</t>
  </si>
  <si>
    <t>Excel Text Functions — Notes</t>
  </si>
  <si>
    <t>S.No.</t>
  </si>
  <si>
    <t>Function</t>
  </si>
  <si>
    <t>Purpose</t>
  </si>
  <si>
    <t>Syntax</t>
  </si>
  <si>
    <t>Example</t>
  </si>
  <si>
    <t>Result</t>
  </si>
  <si>
    <t>LEFT</t>
  </si>
  <si>
    <t>Extracts characters from the beginning of text</t>
  </si>
  <si>
    <t>CUSTOMER</t>
  </si>
  <si>
    <t>RIGHT</t>
  </si>
  <si>
    <t>Extracts characters from the end of text</t>
  </si>
  <si>
    <t>MID</t>
  </si>
  <si>
    <t>Extracts characters from a specific position</t>
  </si>
  <si>
    <t>HP</t>
  </si>
  <si>
    <t>LEN</t>
  </si>
  <si>
    <t>Counts the number of characters</t>
  </si>
  <si>
    <t>TRIM</t>
  </si>
  <si>
    <t>Removes extra spaces</t>
  </si>
  <si>
    <t>John Smith</t>
  </si>
  <si>
    <t>CLEAN</t>
  </si>
  <si>
    <t>Removes non-printing characters</t>
  </si>
  <si>
    <t>Clean text</t>
  </si>
  <si>
    <t>UPPER</t>
  </si>
  <si>
    <t>Converts text to uppercase</t>
  </si>
  <si>
    <t>JOHN SMITH</t>
  </si>
  <si>
    <t>LOWER</t>
  </si>
  <si>
    <t>Converts text to lowercase</t>
  </si>
  <si>
    <t>john smith</t>
  </si>
  <si>
    <t>PROPER</t>
  </si>
  <si>
    <t>Capitalizes the first letter of each word</t>
  </si>
  <si>
    <t>CONCAT</t>
  </si>
  <si>
    <t>Combines multiple text values</t>
  </si>
  <si>
    <t>TEXTJOIN</t>
  </si>
  <si>
    <t>Combines text using a separator</t>
  </si>
  <si>
    <t>Combined text</t>
  </si>
  <si>
    <t>FIND</t>
  </si>
  <si>
    <t>Finds the position of specific text; case-sensitive</t>
  </si>
  <si>
    <r>
      <t xml:space="preserve">Position of </t>
    </r>
    <r>
      <rPr>
        <sz val="10"/>
        <color theme="1"/>
        <rFont val="Arial Unicode MS"/>
        <family val="2"/>
      </rPr>
      <t>@</t>
    </r>
  </si>
  <si>
    <t>SEARCH</t>
  </si>
  <si>
    <t>Finds the position of text; not case-sensitive</t>
  </si>
  <si>
    <r>
      <t xml:space="preserve">Position of </t>
    </r>
    <r>
      <rPr>
        <sz val="10"/>
        <color theme="1"/>
        <rFont val="Arial Unicode MS"/>
        <family val="2"/>
      </rPr>
      <t>gmail</t>
    </r>
  </si>
  <si>
    <t>SUBSTITUTE</t>
  </si>
  <si>
    <t>Replaces specific text with another text</t>
  </si>
  <si>
    <t>john@company.com</t>
  </si>
  <si>
    <t>REPLACE</t>
  </si>
  <si>
    <t>Replaces characters based on their position</t>
  </si>
  <si>
    <t>CUST-999</t>
  </si>
  <si>
    <t>LEFT(text,num_chars)</t>
  </si>
  <si>
    <t>RIGHT(text,num_chars)</t>
  </si>
  <si>
    <t>MID(text,start_num,num_chars)</t>
  </si>
  <si>
    <t>LEN(text)</t>
  </si>
  <si>
    <t>TRIM(text)</t>
  </si>
  <si>
    <t>CLEAN(text)</t>
  </si>
  <si>
    <t>UPPER(text)</t>
  </si>
  <si>
    <t>LOWER(text)</t>
  </si>
  <si>
    <t>PROPER(text)</t>
  </si>
  <si>
    <t>CONCAT(text1,text2,...)</t>
  </si>
  <si>
    <t>TEXTJOIN(delimiter,ignore_empty,text1,...)</t>
  </si>
  <si>
    <t>FIND(find_text,within_text)</t>
  </si>
  <si>
    <t>SEARCH(find_text,within_text)</t>
  </si>
  <si>
    <t>SUBSTITUTE(text,old_text,new_text)</t>
  </si>
  <si>
    <t>REPLACE(old_text,start_num,num_chars,new_text)</t>
  </si>
  <si>
    <t>LEFT("CUSTOMER001",8)</t>
  </si>
  <si>
    <t>RIGHT("CUST-001",3)</t>
  </si>
  <si>
    <t>MID("LAP-HP-001",5,2)</t>
  </si>
  <si>
    <t>LEN("John Smith")</t>
  </si>
  <si>
    <t>TRIM(" John Smith ")</t>
  </si>
  <si>
    <t>CLEAN(A2)</t>
  </si>
  <si>
    <t>UPPER("john smith")</t>
  </si>
  <si>
    <t>LOWER("JOHN SMITH")</t>
  </si>
  <si>
    <t>PROPER("john smith")</t>
  </si>
  <si>
    <t>CONCAT(A2," ",B2)</t>
  </si>
  <si>
    <t>TEXTJOIN(", ",TRUE,A2:C2)</t>
  </si>
  <si>
    <t>FIND("@","john@gmail.com")</t>
  </si>
  <si>
    <t>SEARCH("gmail","john@gmail.com")</t>
  </si>
  <si>
    <t>SUBSTITUTE("john@gmail.com","gmail.com","company.com")</t>
  </si>
  <si>
    <t>REPLACE("CUST-001",6,3,"999")</t>
  </si>
  <si>
    <t>Mary joHN</t>
  </si>
  <si>
    <t xml:space="preserve">aNJALI nAIR </t>
  </si>
  <si>
    <t>snehA MENON</t>
  </si>
  <si>
    <t>cstmr prdct id</t>
  </si>
  <si>
    <t>cstmr cntct</t>
  </si>
  <si>
    <t>cstmr location</t>
  </si>
  <si>
    <t>cstmr detail</t>
  </si>
  <si>
    <t>prdcct location</t>
  </si>
  <si>
    <t>contct card</t>
  </si>
  <si>
    <t>symbol position</t>
  </si>
  <si>
    <t>jg</t>
  </si>
  <si>
    <t>clmn 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</si>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</sst>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29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9FC51-84B1-4676-8A58-8999D6A17D97}" name="Table1" displayName="Table1" ref="A1:Q11" totalsRowShown="0" headerRowDxfId="28" dataDxfId="27">
  <autoFilter ref="A1:Q11" xr:uid="{B179FC51-84B1-4676-8A58-8999D6A17D97}"/>
  <tableColumns count="17">
    <tableColumn id="1" xr3:uid="{ADB6CF63-6A4F-4C44-B336-994BCD91B799}" name="Customer ID" dataDxfId="26"/>
    <tableColumn id="2" xr3:uid="{C87E634D-6E0E-4207-A548-624DC499CDAD}" name="Raw Customer Name" dataDxfId="25"/>
    <tableColumn id="3" xr3:uid="{B9A0994C-7E3E-472E-B35F-74C945EAC40F}" name="Email" dataDxfId="24"/>
    <tableColumn id="4" xr3:uid="{52C0E72A-53CB-43CE-B213-9841D25FE09D}" name="Phone" dataDxfId="23"/>
    <tableColumn id="5" xr3:uid="{E3E47A2A-955A-41E1-8CFA-27C564473FB7}" name="Product Code" dataDxfId="22"/>
    <tableColumn id="6" xr3:uid="{B2CFE068-0FB7-4609-ACAB-D60C016E0017}" name="Address" dataDxfId="21"/>
    <tableColumn id="7" xr3:uid="{178CE1AE-1D07-7D4E-AEEC-DA68D5DAF06C}" name="cstmr prdct id" dataDxfId="20">
      <calculatedColumnFormula>_xlfn.CONCAT(Table1[[#This Row],[Customer ID]],"-",Table1[[#This Row],[Product Code]])</calculatedColumnFormula>
    </tableColumn>
    <tableColumn id="8" xr3:uid="{68C77349-8C7E-354E-8B25-6EC4D9C30F5F}" name="cstmr cntct" dataDxfId="19">
      <calculatedColumnFormula>_xlfn.CONCAT(Table1[[#This Row],[Raw Customer Name]],"|",Table1[[#This Row],[Phone]])</calculatedColumnFormula>
    </tableColumn>
    <tableColumn id="9" xr3:uid="{007ADB65-3E43-0C4E-9952-DCC5F99750E1}" name="cstmr location" dataDxfId="18">
      <calculatedColumnFormula>_xlfn.CONCAT(Table1[[#This Row],[Customer ID]],"-",Table1[[#This Row],[Address]])</calculatedColumnFormula>
    </tableColumn>
    <tableColumn id="10" xr3:uid="{C219D221-D3BF-FA45-9280-72A100A3E4B2}" name="cstmr detail" dataDxfId="17">
      <calculatedColumnFormula>_xlfn.TEXTJOIN("|",FALSE,Table1[[#This Row],[Customer ID]],Table1[[#This Row],[Raw Customer Name]],Table1[[#This Row],[Email]],Table1[[#This Row],[Phone]])</calculatedColumnFormula>
    </tableColumn>
    <tableColumn id="11" xr3:uid="{2FCEC83C-323F-4241-A396-B8DA3E572AB6}" name="prdcct location" dataDxfId="16">
      <calculatedColumnFormula>_xlfn.TEXTJOIN("-",TRUE,Table1[[#This Row],[Raw Customer Name]],Table1[[#This Row],[Product Code]],Table1[[#This Row],[Address]])</calculatedColumnFormula>
    </tableColumn>
    <tableColumn id="12" xr3:uid="{B95E4412-CEBD-E54A-997C-27A82702EA74}" name="contct card" dataDxfId="15">
      <calculatedColumnFormula>_xlfn.TEXTJOIN("|",TRUE,Table1[[#This Row],[Raw Customer Name]],Table1[[#This Row],[Email]],Table1[[#This Row],[Phone]],Table1[[#This Row],[Address]])</calculatedColumnFormula>
    </tableColumn>
    <tableColumn id="13" xr3:uid="{62ACB597-063C-3B40-AE38-3ED8CFDB4D9B}" name="symbol position" dataDxfId="4">
      <calculatedColumnFormula>FIND("@",Table1[[#This Row],[Email]])</calculatedColumnFormula>
    </tableColumn>
    <tableColumn id="14" xr3:uid="{272B21C0-CD1F-944E-9FD1-703981B0C8C1}" name="jg" dataDxfId="3">
      <calculatedColumnFormula>FIND("-",Table1[[#This Row],[Product Code]])</calculatedColumnFormula>
    </tableColumn>
    <tableColumn id="15" xr3:uid="{19F2B2F3-DF75-C64A-9702-C5FBD2FA8F46}" name="clmn 1" dataDxfId="2">
      <calculatedColumnFormula>IF(ISNUMBER(SEARCH("gmail",Table1[[#This Row],[Email]])),"gmail","other")</calculatedColumnFormula>
    </tableColumn>
    <tableColumn id="16" xr3:uid="{C7F500D7-6D84-FC47-BF9B-280411820BA2}" name="Column2" dataDxfId="1">
      <calculatedColumnFormula>IF(ISNUMBER(SEARCH("MOB",Table1[[#This Row],[Product Code]])),"mobile","non mobile")</calculatedColumnFormula>
    </tableColumn>
    <tableColumn id="17" xr3:uid="{996DE977-27B2-BE45-9E21-14A62B0D1F06}" name="Column3" dataDxfId="0">
      <calculatedColumnFormula>IF(ISNUMBER(SEARCH("kochi",Table1[[#This Row],[cstmr location]])),"kochi cstmr","other location")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D145B-2971-491E-900B-3A716BB6A0C3}" name="Table2" displayName="Table2" ref="A3:F18" totalsRowShown="0" headerRowDxfId="14" headerRowBorderDxfId="13" tableBorderDxfId="12" totalsRowBorderDxfId="11">
  <autoFilter ref="A3:F18" xr:uid="{DAFD145B-2971-491E-900B-3A716BB6A0C3}"/>
  <tableColumns count="6">
    <tableColumn id="1" xr3:uid="{F60DB3B5-0C46-48B2-B9BF-62C7F5E83D01}" name="S.No." dataDxfId="10"/>
    <tableColumn id="2" xr3:uid="{0778AB1F-09DC-45A3-8187-821F7BF39D53}" name="Function" dataDxfId="9"/>
    <tableColumn id="3" xr3:uid="{726833DB-EDF0-4175-BA26-F8A6666AFC51}" name="Purpose" dataDxfId="8"/>
    <tableColumn id="4" xr3:uid="{6D4F86B1-071A-4538-BBBA-B3AE14C59FE1}" name="Syntax" dataDxfId="7"/>
    <tableColumn id="5" xr3:uid="{99AF5B28-89D8-48BC-AAB9-5DE8660FD27A}" name="Example" dataDxfId="6"/>
    <tableColumn id="6" xr3:uid="{A4CFBCED-D6FF-4C38-ABA5-687679B4A4B5}" name="Resul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2A77-3C52-47C2-A5C3-154535430225}">
  <dimension ref="A1:Q11"/>
  <sheetViews>
    <sheetView tabSelected="1" topLeftCell="G1" zoomScale="113" workbookViewId="0">
      <selection activeCell="Q3" sqref="Q3"/>
    </sheetView>
  </sheetViews>
  <sheetFormatPr baseColWidth="10" defaultColWidth="8.83203125" defaultRowHeight="15" x14ac:dyDescent="0.2"/>
  <cols>
    <col min="1" max="1" width="15.6640625" bestFit="1" customWidth="1"/>
    <col min="2" max="2" width="22.33203125" bestFit="1" customWidth="1"/>
    <col min="3" max="3" width="23" bestFit="1" customWidth="1"/>
    <col min="4" max="4" width="11.1640625" bestFit="1" customWidth="1"/>
    <col min="5" max="5" width="16.6640625" bestFit="1" customWidth="1"/>
    <col min="6" max="6" width="24.33203125" bestFit="1" customWidth="1"/>
    <col min="7" max="7" width="16.83203125" bestFit="1" customWidth="1"/>
    <col min="8" max="8" width="19.1640625" bestFit="1" customWidth="1"/>
    <col min="9" max="9" width="17.33203125" bestFit="1" customWidth="1"/>
    <col min="10" max="10" width="40.6640625" bestFit="1" customWidth="1"/>
    <col min="11" max="11" width="18" customWidth="1"/>
    <col min="12" max="12" width="24" customWidth="1"/>
  </cols>
  <sheetData>
    <row r="1" spans="1:17" ht="3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134</v>
      </c>
      <c r="H1" s="4" t="s">
        <v>135</v>
      </c>
      <c r="I1" s="4" t="s">
        <v>136</v>
      </c>
      <c r="J1" s="4" t="s">
        <v>137</v>
      </c>
      <c r="K1" s="4" t="s">
        <v>138</v>
      </c>
      <c r="L1" s="4" t="s">
        <v>139</v>
      </c>
      <c r="M1" s="4" t="s">
        <v>140</v>
      </c>
      <c r="N1" s="4" t="s">
        <v>141</v>
      </c>
      <c r="O1" s="4" t="s">
        <v>142</v>
      </c>
      <c r="P1" s="4" t="s">
        <v>143</v>
      </c>
      <c r="Q1" s="4" t="s">
        <v>144</v>
      </c>
    </row>
    <row r="2" spans="1:17" ht="64" x14ac:dyDescent="0.2">
      <c r="A2" s="2" t="s">
        <v>6</v>
      </c>
      <c r="B2" s="3" t="s">
        <v>7</v>
      </c>
      <c r="C2" s="2" t="s">
        <v>8</v>
      </c>
      <c r="D2" s="2">
        <v>9876543210</v>
      </c>
      <c r="E2" s="2" t="s">
        <v>9</v>
      </c>
      <c r="F2" s="2" t="s">
        <v>10</v>
      </c>
      <c r="G2" s="2" t="str">
        <f>_xlfn.CONCAT(Table1[[#This Row],[Customer ID]],"-",Table1[[#This Row],[Product Code]])</f>
        <v>CUST-001-LAP-HP-001</v>
      </c>
      <c r="H2" s="2" t="str">
        <f>_xlfn.CONCAT(Table1[[#This Row],[Raw Customer Name]],"|",Table1[[#This Row],[Phone]])</f>
        <v>john smith |9876543210</v>
      </c>
      <c r="I2" s="2" t="str">
        <f>_xlfn.CONCAT(Table1[[#This Row],[Customer ID]],"-",Table1[[#This Row],[Address]])</f>
        <v>CUST-001-45 Main Street, Kochi</v>
      </c>
      <c r="J2" s="2" t="str">
        <f>_xlfn.TEXTJOIN("|",FALSE,Table1[[#This Row],[Customer ID]],Table1[[#This Row],[Raw Customer Name]],Table1[[#This Row],[Email]],Table1[[#This Row],[Phone]])</f>
        <v>CUST-001|john smith |john.smith@gmail.com|9876543210</v>
      </c>
      <c r="K2" s="2" t="str">
        <f>_xlfn.TEXTJOIN("-",TRUE,Table1[[#This Row],[Raw Customer Name]],Table1[[#This Row],[Product Code]],Table1[[#This Row],[Address]])</f>
        <v>john smith -LAP-HP-001-45 Main Street, Kochi</v>
      </c>
      <c r="L2" s="2" t="str">
        <f>_xlfn.TEXTJOIN("|",TRUE,Table1[[#This Row],[Raw Customer Name]],Table1[[#This Row],[Email]],Table1[[#This Row],[Phone]],Table1[[#This Row],[Address]])</f>
        <v>john smith |john.smith@gmail.com|9876543210|45 Main Street, Kochi</v>
      </c>
      <c r="M2" s="22">
        <f>FIND("@",Table1[[#This Row],[Email]])</f>
        <v>11</v>
      </c>
      <c r="N2" s="22">
        <f>FIND("-",Table1[[#This Row],[Product Code]])</f>
        <v>4</v>
      </c>
      <c r="O2" s="22" t="str">
        <f>IF(ISNUMBER(SEARCH("gmail",Table1[[#This Row],[Email]])),"gmail","other")</f>
        <v>gmail</v>
      </c>
      <c r="P2" s="22" t="str">
        <f>IF(ISNUMBER(SEARCH("MOB",Table1[[#This Row],[Product Code]])),"mobile","non mobile")</f>
        <v>non mobile</v>
      </c>
      <c r="Q2" s="22" t="str">
        <f>IF(ISNUMBER(SEARCH("kochi",Table1[[#This Row],[cstmr location]])),"kochi cstmr","other location")</f>
        <v>kochi cstmr</v>
      </c>
    </row>
    <row r="3" spans="1:17" ht="64" x14ac:dyDescent="0.2">
      <c r="A3" s="2" t="s">
        <v>11</v>
      </c>
      <c r="B3" s="3" t="s">
        <v>131</v>
      </c>
      <c r="C3" s="2" t="s">
        <v>12</v>
      </c>
      <c r="D3" s="2">
        <v>9876512345</v>
      </c>
      <c r="E3" s="2" t="s">
        <v>13</v>
      </c>
      <c r="F3" s="2" t="s">
        <v>14</v>
      </c>
      <c r="G3" s="2" t="str">
        <f>_xlfn.CONCAT(Table1[[#This Row],[Customer ID]],"-",Table1[[#This Row],[Product Code]])</f>
        <v>CUST-002-MOB-SAM-002</v>
      </c>
      <c r="H3" s="2" t="str">
        <f>_xlfn.CONCAT(Table1[[#This Row],[Raw Customer Name]],"|",Table1[[#This Row],[Phone]])</f>
        <v>Mary joHN|9876512345</v>
      </c>
      <c r="I3" s="2" t="str">
        <f>_xlfn.CONCAT(Table1[[#This Row],[Customer ID]],"-",Table1[[#This Row],[Address]])</f>
        <v>CUST-002-12 Park Road, Calicut</v>
      </c>
      <c r="J3" s="2" t="str">
        <f>_xlfn.TEXTJOIN("|",FALSE,Table1[[#This Row],[Customer ID]],Table1[[#This Row],[Raw Customer Name]],Table1[[#This Row],[Email]],Table1[[#This Row],[Phone]])</f>
        <v>CUST-002|Mary joHN|mary.john@yahoo.com|9876512345</v>
      </c>
      <c r="K3" s="2" t="str">
        <f>_xlfn.TEXTJOIN("-",TRUE,Table1[[#This Row],[Raw Customer Name]],Table1[[#This Row],[Product Code]],Table1[[#This Row],[Address]])</f>
        <v>Mary joHN-MOB-SAM-002-12 Park Road, Calicut</v>
      </c>
      <c r="L3" s="2" t="str">
        <f>_xlfn.TEXTJOIN("|",TRUE,Table1[[#This Row],[Raw Customer Name]],Table1[[#This Row],[Email]],Table1[[#This Row],[Phone]],Table1[[#This Row],[Address]])</f>
        <v>Mary joHN|mary.john@yahoo.com|9876512345|12 Park Road, Calicut</v>
      </c>
      <c r="M3" s="22">
        <f>FIND("@",Table1[[#This Row],[Email]])</f>
        <v>10</v>
      </c>
      <c r="N3" s="22">
        <f>FIND("-",Table1[[#This Row],[Product Code]])</f>
        <v>4</v>
      </c>
      <c r="O3" s="22" t="str">
        <f>IF(ISNUMBER(SEARCH("gmail",Table1[[#This Row],[Email]])),"gmail","other")</f>
        <v>other</v>
      </c>
      <c r="P3" s="22" t="str">
        <f>IF(ISNUMBER(SEARCH("MOB",Table1[[#This Row],[Product Code]])),"mobile","non mobile")</f>
        <v>mobile</v>
      </c>
      <c r="Q3" s="22" t="str">
        <f>IF(ISNUMBER(SEARCH("kochi",Table1[[#This Row],[cstmr location]])),"kochi cstmr","other location")</f>
        <v>other location</v>
      </c>
    </row>
    <row r="4" spans="1:17" ht="64" x14ac:dyDescent="0.2">
      <c r="A4" s="2" t="s">
        <v>15</v>
      </c>
      <c r="B4" s="3" t="s">
        <v>16</v>
      </c>
      <c r="C4" s="2" t="s">
        <v>17</v>
      </c>
      <c r="D4" s="2">
        <v>9847012345</v>
      </c>
      <c r="E4" s="2" t="s">
        <v>18</v>
      </c>
      <c r="F4" s="2" t="s">
        <v>19</v>
      </c>
      <c r="G4" s="2" t="str">
        <f>_xlfn.CONCAT(Table1[[#This Row],[Customer ID]],"-",Table1[[#This Row],[Product Code]])</f>
        <v>CUST-003-TAB-APP-003</v>
      </c>
      <c r="H4" s="2" t="str">
        <f>_xlfn.CONCAT(Table1[[#This Row],[Raw Customer Name]],"|",Table1[[#This Row],[Phone]])</f>
        <v>rahul kumar|9847012345</v>
      </c>
      <c r="I4" s="2" t="str">
        <f>_xlfn.CONCAT(Table1[[#This Row],[Customer ID]],"-",Table1[[#This Row],[Address]])</f>
        <v>CUST-003-78 MG Road, Thrissur</v>
      </c>
      <c r="J4" s="2" t="str">
        <f>_xlfn.TEXTJOIN("|",FALSE,Table1[[#This Row],[Customer ID]],Table1[[#This Row],[Raw Customer Name]],Table1[[#This Row],[Email]],Table1[[#This Row],[Phone]])</f>
        <v>CUST-003|rahul kumar|rahul.kumar@gmail.com|9847012345</v>
      </c>
      <c r="K4" s="2" t="str">
        <f>_xlfn.TEXTJOIN("-",TRUE,Table1[[#This Row],[Raw Customer Name]],Table1[[#This Row],[Product Code]],Table1[[#This Row],[Address]])</f>
        <v>rahul kumar-TAB-APP-003-78 MG Road, Thrissur</v>
      </c>
      <c r="L4" s="2" t="str">
        <f>_xlfn.TEXTJOIN("|",TRUE,Table1[[#This Row],[Raw Customer Name]],Table1[[#This Row],[Email]],Table1[[#This Row],[Phone]],Table1[[#This Row],[Address]])</f>
        <v>rahul kumar|rahul.kumar@gmail.com|9847012345|78 MG Road, Thrissur</v>
      </c>
      <c r="M4" s="22">
        <f>FIND("@",Table1[[#This Row],[Email]])</f>
        <v>12</v>
      </c>
      <c r="N4" s="22">
        <f>FIND("-",Table1[[#This Row],[Product Code]])</f>
        <v>4</v>
      </c>
      <c r="O4" s="22" t="str">
        <f>IF(ISNUMBER(SEARCH("gmail",Table1[[#This Row],[Email]])),"gmail","other")</f>
        <v>gmail</v>
      </c>
      <c r="P4" s="22" t="str">
        <f>IF(ISNUMBER(SEARCH("MOB",Table1[[#This Row],[Product Code]])),"mobile","non mobile")</f>
        <v>non mobile</v>
      </c>
      <c r="Q4" s="22" t="str">
        <f>IF(ISNUMBER(SEARCH("kochi",Table1[[#This Row],[cstmr location]])),"kochi cstmr","other location")</f>
        <v>other location</v>
      </c>
    </row>
    <row r="5" spans="1:17" ht="64" x14ac:dyDescent="0.2">
      <c r="A5" s="2" t="s">
        <v>20</v>
      </c>
      <c r="B5" s="3" t="s">
        <v>132</v>
      </c>
      <c r="C5" s="2" t="s">
        <v>21</v>
      </c>
      <c r="D5" s="2">
        <v>9988776655</v>
      </c>
      <c r="E5" s="2" t="s">
        <v>22</v>
      </c>
      <c r="F5" s="2" t="s">
        <v>23</v>
      </c>
      <c r="G5" s="2" t="str">
        <f>_xlfn.CONCAT(Table1[[#This Row],[Customer ID]],"-",Table1[[#This Row],[Product Code]])</f>
        <v>CUST-004-LAP-DEL-004</v>
      </c>
      <c r="H5" s="2" t="str">
        <f>_xlfn.CONCAT(Table1[[#This Row],[Raw Customer Name]],"|",Table1[[#This Row],[Phone]])</f>
        <v>aNJALI nAIR |9988776655</v>
      </c>
      <c r="I5" s="2" t="str">
        <f>_xlfn.CONCAT(Table1[[#This Row],[Customer ID]],"-",Table1[[#This Row],[Address]])</f>
        <v>CUST-004-23 Lake View, Kochi</v>
      </c>
      <c r="J5" s="2" t="str">
        <f>_xlfn.TEXTJOIN("|",FALSE,Table1[[#This Row],[Customer ID]],Table1[[#This Row],[Raw Customer Name]],Table1[[#This Row],[Email]],Table1[[#This Row],[Phone]])</f>
        <v>CUST-004|aNJALI nAIR |anjali.nair@outlook.com|9988776655</v>
      </c>
      <c r="K5" s="2" t="str">
        <f>_xlfn.TEXTJOIN("-",TRUE,Table1[[#This Row],[Raw Customer Name]],Table1[[#This Row],[Product Code]],Table1[[#This Row],[Address]])</f>
        <v>aNJALI nAIR -LAP-DEL-004-23 Lake View, Kochi</v>
      </c>
      <c r="L5" s="2" t="str">
        <f>_xlfn.TEXTJOIN("|",TRUE,Table1[[#This Row],[Raw Customer Name]],Table1[[#This Row],[Email]],Table1[[#This Row],[Phone]],Table1[[#This Row],[Address]])</f>
        <v>aNJALI nAIR |anjali.nair@outlook.com|9988776655|23 Lake View, Kochi</v>
      </c>
      <c r="M5" s="22">
        <f>FIND("@",Table1[[#This Row],[Email]])</f>
        <v>12</v>
      </c>
      <c r="N5" s="22">
        <f>FIND("-",Table1[[#This Row],[Product Code]])</f>
        <v>4</v>
      </c>
      <c r="O5" s="22" t="str">
        <f>IF(ISNUMBER(SEARCH("gmail",Table1[[#This Row],[Email]])),"gmail","other")</f>
        <v>other</v>
      </c>
      <c r="P5" s="22" t="str">
        <f>IF(ISNUMBER(SEARCH("MOB",Table1[[#This Row],[Product Code]])),"mobile","non mobile")</f>
        <v>non mobile</v>
      </c>
      <c r="Q5" s="22" t="str">
        <f>IF(ISNUMBER(SEARCH("kochi",Table1[[#This Row],[cstmr location]])),"kochi cstmr","other location")</f>
        <v>kochi cstmr</v>
      </c>
    </row>
    <row r="6" spans="1:17" ht="64" x14ac:dyDescent="0.2">
      <c r="A6" s="2" t="s">
        <v>24</v>
      </c>
      <c r="B6" s="3" t="s">
        <v>25</v>
      </c>
      <c r="C6" s="2" t="s">
        <v>26</v>
      </c>
      <c r="D6" s="2">
        <v>9876123456</v>
      </c>
      <c r="E6" s="2" t="s">
        <v>27</v>
      </c>
      <c r="F6" s="2" t="s">
        <v>28</v>
      </c>
      <c r="G6" s="2" t="str">
        <f>_xlfn.CONCAT(Table1[[#This Row],[Customer ID]],"-",Table1[[#This Row],[Product Code]])</f>
        <v>CUST-005-MOB-ONE-005</v>
      </c>
      <c r="H6" s="2" t="str">
        <f>_xlfn.CONCAT(Table1[[#This Row],[Raw Customer Name]],"|",Table1[[#This Row],[Phone]])</f>
        <v>ahmed ali |9876123456</v>
      </c>
      <c r="I6" s="2" t="str">
        <f>_xlfn.CONCAT(Table1[[#This Row],[Customer ID]],"-",Table1[[#This Row],[Address]])</f>
        <v>CUST-005-89 Market Road, Kannur</v>
      </c>
      <c r="J6" s="2" t="str">
        <f>_xlfn.TEXTJOIN("|",FALSE,Table1[[#This Row],[Customer ID]],Table1[[#This Row],[Raw Customer Name]],Table1[[#This Row],[Email]],Table1[[#This Row],[Phone]])</f>
        <v>CUST-005|ahmed ali |ahmed.ali@gmail.com|9876123456</v>
      </c>
      <c r="K6" s="2" t="str">
        <f>_xlfn.TEXTJOIN("-",TRUE,Table1[[#This Row],[Raw Customer Name]],Table1[[#This Row],[Product Code]],Table1[[#This Row],[Address]])</f>
        <v>ahmed ali -MOB-ONE-005-89 Market Road, Kannur</v>
      </c>
      <c r="L6" s="2" t="str">
        <f>_xlfn.TEXTJOIN("|",TRUE,Table1[[#This Row],[Raw Customer Name]],Table1[[#This Row],[Email]],Table1[[#This Row],[Phone]],Table1[[#This Row],[Address]])</f>
        <v>ahmed ali |ahmed.ali@gmail.com|9876123456|89 Market Road, Kannur</v>
      </c>
      <c r="M6" s="22">
        <f>FIND("@",Table1[[#This Row],[Email]])</f>
        <v>10</v>
      </c>
      <c r="N6" s="22">
        <f>FIND("-",Table1[[#This Row],[Product Code]])</f>
        <v>4</v>
      </c>
      <c r="O6" s="22" t="str">
        <f>IF(ISNUMBER(SEARCH("gmail",Table1[[#This Row],[Email]])),"gmail","other")</f>
        <v>gmail</v>
      </c>
      <c r="P6" s="22" t="str">
        <f>IF(ISNUMBER(SEARCH("MOB",Table1[[#This Row],[Product Code]])),"mobile","non mobile")</f>
        <v>mobile</v>
      </c>
      <c r="Q6" s="22" t="str">
        <f>IF(ISNUMBER(SEARCH("kochi",Table1[[#This Row],[cstmr location]])),"kochi cstmr","other location")</f>
        <v>other location</v>
      </c>
    </row>
    <row r="7" spans="1:17" ht="64" x14ac:dyDescent="0.2">
      <c r="A7" s="2" t="s">
        <v>29</v>
      </c>
      <c r="B7" s="3" t="s">
        <v>133</v>
      </c>
      <c r="C7" s="2" t="s">
        <v>30</v>
      </c>
      <c r="D7" s="2">
        <v>9847123456</v>
      </c>
      <c r="E7" s="2" t="s">
        <v>31</v>
      </c>
      <c r="F7" s="2" t="s">
        <v>32</v>
      </c>
      <c r="G7" s="2" t="str">
        <f>_xlfn.CONCAT(Table1[[#This Row],[Customer ID]],"-",Table1[[#This Row],[Product Code]])</f>
        <v>CUST-006-LAP-LEN-006</v>
      </c>
      <c r="H7" s="2" t="str">
        <f>_xlfn.CONCAT(Table1[[#This Row],[Raw Customer Name]],"|",Table1[[#This Row],[Phone]])</f>
        <v>snehA MENON|9847123456</v>
      </c>
      <c r="I7" s="2" t="str">
        <f>_xlfn.CONCAT(Table1[[#This Row],[Customer ID]],"-",Table1[[#This Row],[Address]])</f>
        <v>CUST-006-34 Station Road, Aluva</v>
      </c>
      <c r="J7" s="2" t="str">
        <f>_xlfn.TEXTJOIN("|",FALSE,Table1[[#This Row],[Customer ID]],Table1[[#This Row],[Raw Customer Name]],Table1[[#This Row],[Email]],Table1[[#This Row],[Phone]])</f>
        <v>CUST-006|snehA MENON|sneha.menon@yahoo.com|9847123456</v>
      </c>
      <c r="K7" s="2" t="str">
        <f>_xlfn.TEXTJOIN("-",TRUE,Table1[[#This Row],[Raw Customer Name]],Table1[[#This Row],[Product Code]],Table1[[#This Row],[Address]])</f>
        <v>snehA MENON-LAP-LEN-006-34 Station Road, Aluva</v>
      </c>
      <c r="L7" s="2" t="str">
        <f>_xlfn.TEXTJOIN("|",TRUE,Table1[[#This Row],[Raw Customer Name]],Table1[[#This Row],[Email]],Table1[[#This Row],[Phone]],Table1[[#This Row],[Address]])</f>
        <v>snehA MENON|sneha.menon@yahoo.com|9847123456|34 Station Road, Aluva</v>
      </c>
      <c r="M7" s="22">
        <f>FIND("@",Table1[[#This Row],[Email]])</f>
        <v>12</v>
      </c>
      <c r="N7" s="22">
        <f>FIND("-",Table1[[#This Row],[Product Code]])</f>
        <v>4</v>
      </c>
      <c r="O7" s="22" t="str">
        <f>IF(ISNUMBER(SEARCH("gmail",Table1[[#This Row],[Email]])),"gmail","other")</f>
        <v>other</v>
      </c>
      <c r="P7" s="22" t="str">
        <f>IF(ISNUMBER(SEARCH("MOB",Table1[[#This Row],[Product Code]])),"mobile","non mobile")</f>
        <v>non mobile</v>
      </c>
      <c r="Q7" s="22" t="str">
        <f>IF(ISNUMBER(SEARCH("kochi",Table1[[#This Row],[cstmr location]])),"kochi cstmr","other location")</f>
        <v>other location</v>
      </c>
    </row>
    <row r="8" spans="1:17" ht="64" x14ac:dyDescent="0.2">
      <c r="A8" s="2" t="s">
        <v>33</v>
      </c>
      <c r="B8" s="3" t="s">
        <v>34</v>
      </c>
      <c r="C8" s="2" t="s">
        <v>35</v>
      </c>
      <c r="D8" s="2">
        <v>9966123456</v>
      </c>
      <c r="E8" s="2" t="s">
        <v>36</v>
      </c>
      <c r="F8" s="2" t="s">
        <v>37</v>
      </c>
      <c r="G8" s="2" t="str">
        <f>_xlfn.CONCAT(Table1[[#This Row],[Customer ID]],"-",Table1[[#This Row],[Product Code]])</f>
        <v>CUST-007-TAB-SAM-007</v>
      </c>
      <c r="H8" s="2" t="str">
        <f>_xlfn.CONCAT(Table1[[#This Row],[Raw Customer Name]],"|",Table1[[#This Row],[Phone]])</f>
        <v>arjun das|9966123456</v>
      </c>
      <c r="I8" s="2" t="str">
        <f>_xlfn.CONCAT(Table1[[#This Row],[Customer ID]],"-",Table1[[#This Row],[Address]])</f>
        <v>CUST-007-56 Beach Road, Kozhikode</v>
      </c>
      <c r="J8" s="2" t="str">
        <f>_xlfn.TEXTJOIN("|",FALSE,Table1[[#This Row],[Customer ID]],Table1[[#This Row],[Raw Customer Name]],Table1[[#This Row],[Email]],Table1[[#This Row],[Phone]])</f>
        <v>CUST-007|arjun das|arjun.das@gmail.com|9966123456</v>
      </c>
      <c r="K8" s="2" t="str">
        <f>_xlfn.TEXTJOIN("-",TRUE,Table1[[#This Row],[Raw Customer Name]],Table1[[#This Row],[Product Code]],Table1[[#This Row],[Address]])</f>
        <v>arjun das-TAB-SAM-007-56 Beach Road, Kozhikode</v>
      </c>
      <c r="L8" s="2" t="str">
        <f>_xlfn.TEXTJOIN("|",TRUE,Table1[[#This Row],[Raw Customer Name]],Table1[[#This Row],[Email]],Table1[[#This Row],[Phone]],Table1[[#This Row],[Address]])</f>
        <v>arjun das|arjun.das@gmail.com|9966123456|56 Beach Road, Kozhikode</v>
      </c>
      <c r="M8" s="22">
        <f>FIND("@",Table1[[#This Row],[Email]])</f>
        <v>10</v>
      </c>
      <c r="N8" s="22">
        <f>FIND("-",Table1[[#This Row],[Product Code]])</f>
        <v>4</v>
      </c>
      <c r="O8" s="22" t="str">
        <f>IF(ISNUMBER(SEARCH("gmail",Table1[[#This Row],[Email]])),"gmail","other")</f>
        <v>gmail</v>
      </c>
      <c r="P8" s="22" t="str">
        <f>IF(ISNUMBER(SEARCH("MOB",Table1[[#This Row],[Product Code]])),"mobile","non mobile")</f>
        <v>non mobile</v>
      </c>
      <c r="Q8" s="22" t="str">
        <f>IF(ISNUMBER(SEARCH("kochi",Table1[[#This Row],[cstmr location]])),"kochi cstmr","other location")</f>
        <v>other location</v>
      </c>
    </row>
    <row r="9" spans="1:17" ht="64" x14ac:dyDescent="0.2">
      <c r="A9" s="2" t="s">
        <v>38</v>
      </c>
      <c r="B9" s="3" t="s">
        <v>39</v>
      </c>
      <c r="C9" s="2" t="s">
        <v>40</v>
      </c>
      <c r="D9" s="2">
        <v>9895123456</v>
      </c>
      <c r="E9" s="2" t="s">
        <v>41</v>
      </c>
      <c r="F9" s="2" t="s">
        <v>42</v>
      </c>
      <c r="G9" s="2" t="str">
        <f>_xlfn.CONCAT(Table1[[#This Row],[Customer ID]],"-",Table1[[#This Row],[Product Code]])</f>
        <v>CUST-008-MOB-RED-008</v>
      </c>
      <c r="H9" s="2" t="str">
        <f>_xlfn.CONCAT(Table1[[#This Row],[Raw Customer Name]],"|",Table1[[#This Row],[Phone]])</f>
        <v>FATHIMA KHAN |9895123456</v>
      </c>
      <c r="I9" s="2" t="str">
        <f>_xlfn.CONCAT(Table1[[#This Row],[Customer ID]],"-",Table1[[#This Row],[Address]])</f>
        <v>CUST-008-90 College Road, Malappuram</v>
      </c>
      <c r="J9" s="2" t="str">
        <f>_xlfn.TEXTJOIN("|",FALSE,Table1[[#This Row],[Customer ID]],Table1[[#This Row],[Raw Customer Name]],Table1[[#This Row],[Email]],Table1[[#This Row],[Phone]])</f>
        <v>CUST-008|FATHIMA KHAN |fathima.khan@outlook.com|9895123456</v>
      </c>
      <c r="K9" s="2" t="str">
        <f>_xlfn.TEXTJOIN("-",TRUE,Table1[[#This Row],[Raw Customer Name]],Table1[[#This Row],[Product Code]],Table1[[#This Row],[Address]])</f>
        <v>FATHIMA KHAN -MOB-RED-008-90 College Road, Malappuram</v>
      </c>
      <c r="L9" s="2" t="str">
        <f>_xlfn.TEXTJOIN("|",TRUE,Table1[[#This Row],[Raw Customer Name]],Table1[[#This Row],[Email]],Table1[[#This Row],[Phone]],Table1[[#This Row],[Address]])</f>
        <v>FATHIMA KHAN |fathima.khan@outlook.com|9895123456|90 College Road, Malappuram</v>
      </c>
      <c r="M9" s="22">
        <f>FIND("@",Table1[[#This Row],[Email]])</f>
        <v>13</v>
      </c>
      <c r="N9" s="22">
        <f>FIND("-",Table1[[#This Row],[Product Code]])</f>
        <v>4</v>
      </c>
      <c r="O9" s="22" t="str">
        <f>IF(ISNUMBER(SEARCH("gmail",Table1[[#This Row],[Email]])),"gmail","other")</f>
        <v>other</v>
      </c>
      <c r="P9" s="22" t="str">
        <f>IF(ISNUMBER(SEARCH("MOB",Table1[[#This Row],[Product Code]])),"mobile","non mobile")</f>
        <v>mobile</v>
      </c>
      <c r="Q9" s="22" t="str">
        <f>IF(ISNUMBER(SEARCH("kochi",Table1[[#This Row],[cstmr location]])),"kochi cstmr","other location")</f>
        <v>other location</v>
      </c>
    </row>
    <row r="10" spans="1:17" ht="64" x14ac:dyDescent="0.2">
      <c r="A10" s="2" t="s">
        <v>43</v>
      </c>
      <c r="B10" s="3" t="s">
        <v>44</v>
      </c>
      <c r="C10" s="2" t="s">
        <v>45</v>
      </c>
      <c r="D10" s="2">
        <v>9746123456</v>
      </c>
      <c r="E10" s="2" t="s">
        <v>46</v>
      </c>
      <c r="F10" s="2" t="s">
        <v>47</v>
      </c>
      <c r="G10" s="2" t="str">
        <f>_xlfn.CONCAT(Table1[[#This Row],[Customer ID]],"-",Table1[[#This Row],[Product Code]])</f>
        <v>CUST-009-LAP-ASU-009</v>
      </c>
      <c r="H10" s="2" t="str">
        <f>_xlfn.CONCAT(Table1[[#This Row],[Raw Customer Name]],"|",Table1[[#This Row],[Phone]])</f>
        <v>vishnu raj |9746123456</v>
      </c>
      <c r="I10" s="2" t="str">
        <f>_xlfn.CONCAT(Table1[[#This Row],[Customer ID]],"-",Table1[[#This Row],[Address]])</f>
        <v>CUST-009-11 Temple Road, Kottayam</v>
      </c>
      <c r="J10" s="2" t="str">
        <f>_xlfn.TEXTJOIN("|",FALSE,Table1[[#This Row],[Customer ID]],Table1[[#This Row],[Raw Customer Name]],Table1[[#This Row],[Email]],Table1[[#This Row],[Phone]])</f>
        <v>CUST-009|vishnu raj |vishnu.raj@gmail.com|9746123456</v>
      </c>
      <c r="K10" s="2" t="str">
        <f>_xlfn.TEXTJOIN("-",TRUE,Table1[[#This Row],[Raw Customer Name]],Table1[[#This Row],[Product Code]],Table1[[#This Row],[Address]])</f>
        <v>vishnu raj -LAP-ASU-009-11 Temple Road, Kottayam</v>
      </c>
      <c r="L10" s="2" t="str">
        <f>_xlfn.TEXTJOIN("|",TRUE,Table1[[#This Row],[Raw Customer Name]],Table1[[#This Row],[Email]],Table1[[#This Row],[Phone]],Table1[[#This Row],[Address]])</f>
        <v>vishnu raj |vishnu.raj@gmail.com|9746123456|11 Temple Road, Kottayam</v>
      </c>
      <c r="M10" s="22">
        <f>FIND("@",Table1[[#This Row],[Email]])</f>
        <v>11</v>
      </c>
      <c r="N10" s="22">
        <f>FIND("-",Table1[[#This Row],[Product Code]])</f>
        <v>4</v>
      </c>
      <c r="O10" s="22" t="str">
        <f>IF(ISNUMBER(SEARCH("gmail",Table1[[#This Row],[Email]])),"gmail","other")</f>
        <v>gmail</v>
      </c>
      <c r="P10" s="22" t="str">
        <f>IF(ISNUMBER(SEARCH("MOB",Table1[[#This Row],[Product Code]])),"mobile","non mobile")</f>
        <v>non mobile</v>
      </c>
      <c r="Q10" s="22" t="str">
        <f>IF(ISNUMBER(SEARCH("kochi",Table1[[#This Row],[cstmr location]])),"kochi cstmr","other location")</f>
        <v>other location</v>
      </c>
    </row>
    <row r="11" spans="1:17" ht="64" x14ac:dyDescent="0.2">
      <c r="A11" s="2" t="s">
        <v>48</v>
      </c>
      <c r="B11" s="3" t="s">
        <v>49</v>
      </c>
      <c r="C11" s="2" t="s">
        <v>50</v>
      </c>
      <c r="D11" s="2">
        <v>9846123456</v>
      </c>
      <c r="E11" s="2" t="s">
        <v>51</v>
      </c>
      <c r="F11" s="2" t="s">
        <v>52</v>
      </c>
      <c r="G11" s="2" t="str">
        <f>_xlfn.CONCAT(Table1[[#This Row],[Customer ID]],"-",Table1[[#This Row],[Product Code]])</f>
        <v>CUST-010-MOB-VIV-010</v>
      </c>
      <c r="H11" s="2" t="str">
        <f>_xlfn.CONCAT(Table1[[#This Row],[Raw Customer Name]],"|",Table1[[#This Row],[Phone]])</f>
        <v>PRIYA SHARMA|9846123456</v>
      </c>
      <c r="I11" s="2" t="str">
        <f>_xlfn.CONCAT(Table1[[#This Row],[Customer ID]],"-",Table1[[#This Row],[Address]])</f>
        <v>CUST-010-67 Hill Road, Ernakulam</v>
      </c>
      <c r="J11" s="2" t="str">
        <f>_xlfn.TEXTJOIN("|",FALSE,Table1[[#This Row],[Customer ID]],Table1[[#This Row],[Raw Customer Name]],Table1[[#This Row],[Email]],Table1[[#This Row],[Phone]])</f>
        <v>CUST-010|PRIYA SHARMA|priya.sharma@yahoo.com|9846123456</v>
      </c>
      <c r="K11" s="2" t="str">
        <f>_xlfn.TEXTJOIN("-",TRUE,Table1[[#This Row],[Raw Customer Name]],Table1[[#This Row],[Product Code]],Table1[[#This Row],[Address]])</f>
        <v>PRIYA SHARMA-MOB-VIV-010-67 Hill Road, Ernakulam</v>
      </c>
      <c r="L11" s="2" t="str">
        <f>_xlfn.TEXTJOIN("|",TRUE,Table1[[#This Row],[Raw Customer Name]],Table1[[#This Row],[Email]],Table1[[#This Row],[Phone]],Table1[[#This Row],[Address]])</f>
        <v>PRIYA SHARMA|priya.sharma@yahoo.com|9846123456|67 Hill Road, Ernakulam</v>
      </c>
      <c r="M11" s="22">
        <f>FIND("@",Table1[[#This Row],[Email]])</f>
        <v>13</v>
      </c>
      <c r="N11" s="22">
        <f>FIND("-",Table1[[#This Row],[Product Code]])</f>
        <v>4</v>
      </c>
      <c r="O11" s="22" t="str">
        <f>IF(ISNUMBER(SEARCH("gmail",Table1[[#This Row],[Email]])),"gmail","other")</f>
        <v>other</v>
      </c>
      <c r="P11" s="22" t="str">
        <f>IF(ISNUMBER(SEARCH("MOB",Table1[[#This Row],[Product Code]])),"mobile","non mobile")</f>
        <v>mobile</v>
      </c>
      <c r="Q11" s="22" t="str">
        <f>IF(ISNUMBER(SEARCH("kochi",Table1[[#This Row],[cstmr location]])),"kochi cstmr","other location")</f>
        <v>other location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0E28-6D8B-4AA6-9686-1F48485FE1DA}">
  <dimension ref="A1:G40"/>
  <sheetViews>
    <sheetView workbookViewId="0">
      <selection activeCell="E22" sqref="E22"/>
    </sheetView>
  </sheetViews>
  <sheetFormatPr baseColWidth="10" defaultColWidth="8.83203125" defaultRowHeight="15" x14ac:dyDescent="0.2"/>
  <cols>
    <col min="2" max="2" width="17.33203125" customWidth="1"/>
    <col min="3" max="3" width="40.5" customWidth="1"/>
    <col min="4" max="4" width="35.83203125" customWidth="1"/>
    <col min="5" max="5" width="46.1640625" customWidth="1"/>
    <col min="6" max="6" width="20.1640625" customWidth="1"/>
  </cols>
  <sheetData>
    <row r="1" spans="1:7" ht="24" x14ac:dyDescent="0.2">
      <c r="A1" s="21" t="s">
        <v>53</v>
      </c>
      <c r="B1" s="21"/>
      <c r="C1" s="21"/>
      <c r="D1" s="21"/>
      <c r="E1" s="21"/>
      <c r="F1" s="21"/>
      <c r="G1" s="21"/>
    </row>
    <row r="3" spans="1:7" ht="16" x14ac:dyDescent="0.2">
      <c r="A3" s="7" t="s">
        <v>54</v>
      </c>
      <c r="B3" s="8" t="s">
        <v>55</v>
      </c>
      <c r="C3" s="8" t="s">
        <v>56</v>
      </c>
      <c r="D3" s="8" t="s">
        <v>57</v>
      </c>
      <c r="E3" s="8" t="s">
        <v>58</v>
      </c>
      <c r="F3" s="9" t="s">
        <v>59</v>
      </c>
    </row>
    <row r="4" spans="1:7" ht="17" x14ac:dyDescent="0.2">
      <c r="A4" s="10">
        <v>1</v>
      </c>
      <c r="B4" s="11" t="s">
        <v>60</v>
      </c>
      <c r="C4" s="12" t="s">
        <v>61</v>
      </c>
      <c r="D4" s="13" t="s">
        <v>101</v>
      </c>
      <c r="E4" s="13" t="s">
        <v>116</v>
      </c>
      <c r="F4" s="14" t="s">
        <v>62</v>
      </c>
    </row>
    <row r="5" spans="1:7" ht="17" x14ac:dyDescent="0.2">
      <c r="A5" s="10">
        <v>2</v>
      </c>
      <c r="B5" s="11" t="s">
        <v>63</v>
      </c>
      <c r="C5" s="12" t="s">
        <v>64</v>
      </c>
      <c r="D5" s="13" t="s">
        <v>102</v>
      </c>
      <c r="E5" s="13" t="s">
        <v>117</v>
      </c>
      <c r="F5" s="14">
        <v>1</v>
      </c>
    </row>
    <row r="6" spans="1:7" ht="17" x14ac:dyDescent="0.2">
      <c r="A6" s="10">
        <v>3</v>
      </c>
      <c r="B6" s="11" t="s">
        <v>65</v>
      </c>
      <c r="C6" s="12" t="s">
        <v>66</v>
      </c>
      <c r="D6" s="13" t="s">
        <v>103</v>
      </c>
      <c r="E6" s="13" t="s">
        <v>118</v>
      </c>
      <c r="F6" s="14" t="s">
        <v>67</v>
      </c>
    </row>
    <row r="7" spans="1:7" ht="17" x14ac:dyDescent="0.2">
      <c r="A7" s="10">
        <v>4</v>
      </c>
      <c r="B7" s="11" t="s">
        <v>68</v>
      </c>
      <c r="C7" s="12" t="s">
        <v>69</v>
      </c>
      <c r="D7" s="13" t="s">
        <v>104</v>
      </c>
      <c r="E7" s="13" t="s">
        <v>119</v>
      </c>
      <c r="F7" s="14">
        <v>10</v>
      </c>
    </row>
    <row r="8" spans="1:7" ht="17" x14ac:dyDescent="0.2">
      <c r="A8" s="10">
        <v>5</v>
      </c>
      <c r="B8" s="11" t="s">
        <v>70</v>
      </c>
      <c r="C8" s="12" t="s">
        <v>71</v>
      </c>
      <c r="D8" s="13" t="s">
        <v>105</v>
      </c>
      <c r="E8" s="13" t="s">
        <v>120</v>
      </c>
      <c r="F8" s="14" t="s">
        <v>72</v>
      </c>
    </row>
    <row r="9" spans="1:7" ht="17" x14ac:dyDescent="0.2">
      <c r="A9" s="10">
        <v>6</v>
      </c>
      <c r="B9" s="11" t="s">
        <v>73</v>
      </c>
      <c r="C9" s="12" t="s">
        <v>74</v>
      </c>
      <c r="D9" s="13" t="s">
        <v>106</v>
      </c>
      <c r="E9" s="13" t="s">
        <v>121</v>
      </c>
      <c r="F9" s="15" t="s">
        <v>75</v>
      </c>
    </row>
    <row r="10" spans="1:7" ht="17" x14ac:dyDescent="0.2">
      <c r="A10" s="10">
        <v>7</v>
      </c>
      <c r="B10" s="11" t="s">
        <v>76</v>
      </c>
      <c r="C10" s="12" t="s">
        <v>77</v>
      </c>
      <c r="D10" s="13" t="s">
        <v>107</v>
      </c>
      <c r="E10" s="13" t="s">
        <v>122</v>
      </c>
      <c r="F10" s="14" t="s">
        <v>78</v>
      </c>
    </row>
    <row r="11" spans="1:7" ht="17" x14ac:dyDescent="0.2">
      <c r="A11" s="10">
        <v>8</v>
      </c>
      <c r="B11" s="11" t="s">
        <v>79</v>
      </c>
      <c r="C11" s="12" t="s">
        <v>80</v>
      </c>
      <c r="D11" s="13" t="s">
        <v>108</v>
      </c>
      <c r="E11" s="13" t="s">
        <v>123</v>
      </c>
      <c r="F11" s="14" t="s">
        <v>81</v>
      </c>
    </row>
    <row r="12" spans="1:7" ht="17" x14ac:dyDescent="0.2">
      <c r="A12" s="10">
        <v>9</v>
      </c>
      <c r="B12" s="11" t="s">
        <v>82</v>
      </c>
      <c r="C12" s="12" t="s">
        <v>83</v>
      </c>
      <c r="D12" s="13" t="s">
        <v>109</v>
      </c>
      <c r="E12" s="13" t="s">
        <v>124</v>
      </c>
      <c r="F12" s="14" t="s">
        <v>72</v>
      </c>
    </row>
    <row r="13" spans="1:7" ht="17" x14ac:dyDescent="0.2">
      <c r="A13" s="10">
        <v>10</v>
      </c>
      <c r="B13" s="11" t="s">
        <v>84</v>
      </c>
      <c r="C13" s="12" t="s">
        <v>85</v>
      </c>
      <c r="D13" s="13" t="s">
        <v>110</v>
      </c>
      <c r="E13" s="13" t="s">
        <v>125</v>
      </c>
      <c r="F13" s="14" t="s">
        <v>72</v>
      </c>
    </row>
    <row r="14" spans="1:7" ht="17" x14ac:dyDescent="0.2">
      <c r="A14" s="10">
        <v>11</v>
      </c>
      <c r="B14" s="11" t="s">
        <v>86</v>
      </c>
      <c r="C14" s="12" t="s">
        <v>87</v>
      </c>
      <c r="D14" s="13" t="s">
        <v>111</v>
      </c>
      <c r="E14" s="13" t="s">
        <v>126</v>
      </c>
      <c r="F14" s="15" t="s">
        <v>88</v>
      </c>
    </row>
    <row r="15" spans="1:7" ht="17" x14ac:dyDescent="0.2">
      <c r="A15" s="10">
        <v>12</v>
      </c>
      <c r="B15" s="11" t="s">
        <v>89</v>
      </c>
      <c r="C15" s="12" t="s">
        <v>90</v>
      </c>
      <c r="D15" s="13" t="s">
        <v>112</v>
      </c>
      <c r="E15" s="13" t="s">
        <v>127</v>
      </c>
      <c r="F15" s="15" t="s">
        <v>91</v>
      </c>
    </row>
    <row r="16" spans="1:7" ht="17" x14ac:dyDescent="0.2">
      <c r="A16" s="10">
        <v>13</v>
      </c>
      <c r="B16" s="11" t="s">
        <v>92</v>
      </c>
      <c r="C16" s="12" t="s">
        <v>93</v>
      </c>
      <c r="D16" s="13" t="s">
        <v>113</v>
      </c>
      <c r="E16" s="13" t="s">
        <v>128</v>
      </c>
      <c r="F16" s="15" t="s">
        <v>94</v>
      </c>
    </row>
    <row r="17" spans="1:6" ht="34" x14ac:dyDescent="0.2">
      <c r="A17" s="10">
        <v>14</v>
      </c>
      <c r="B17" s="11" t="s">
        <v>95</v>
      </c>
      <c r="C17" s="12" t="s">
        <v>96</v>
      </c>
      <c r="D17" s="13" t="s">
        <v>114</v>
      </c>
      <c r="E17" s="13" t="s">
        <v>129</v>
      </c>
      <c r="F17" s="14" t="s">
        <v>97</v>
      </c>
    </row>
    <row r="18" spans="1:6" ht="34" x14ac:dyDescent="0.2">
      <c r="A18" s="16">
        <v>15</v>
      </c>
      <c r="B18" s="17" t="s">
        <v>98</v>
      </c>
      <c r="C18" s="18" t="s">
        <v>99</v>
      </c>
      <c r="D18" s="19" t="s">
        <v>115</v>
      </c>
      <c r="E18" s="19" t="s">
        <v>130</v>
      </c>
      <c r="F18" s="20" t="s">
        <v>100</v>
      </c>
    </row>
    <row r="20" spans="1:6" ht="19" x14ac:dyDescent="0.2">
      <c r="A20" s="6"/>
    </row>
    <row r="22" spans="1:6" x14ac:dyDescent="0.2">
      <c r="A22" s="1"/>
      <c r="B22" s="1"/>
    </row>
    <row r="23" spans="1:6" ht="16" x14ac:dyDescent="0.2">
      <c r="A23" s="2"/>
      <c r="B23" s="3"/>
    </row>
    <row r="24" spans="1:6" ht="16" x14ac:dyDescent="0.2">
      <c r="A24" s="2"/>
      <c r="B24" s="3"/>
    </row>
    <row r="25" spans="1:6" ht="16" x14ac:dyDescent="0.2">
      <c r="A25" s="2"/>
      <c r="B25" s="3"/>
    </row>
    <row r="26" spans="1:6" ht="16" x14ac:dyDescent="0.2">
      <c r="A26" s="2"/>
      <c r="B26" s="3"/>
    </row>
    <row r="27" spans="1:6" ht="16" x14ac:dyDescent="0.2">
      <c r="A27" s="2"/>
      <c r="B27" s="3"/>
    </row>
    <row r="28" spans="1:6" ht="16" x14ac:dyDescent="0.2">
      <c r="A28" s="2"/>
      <c r="B28" s="3"/>
    </row>
    <row r="30" spans="1:6" ht="19" x14ac:dyDescent="0.2">
      <c r="A30" s="6"/>
    </row>
    <row r="32" spans="1:6" x14ac:dyDescent="0.2">
      <c r="A32" s="1"/>
      <c r="B32" s="1"/>
    </row>
    <row r="33" spans="1:2" x14ac:dyDescent="0.2">
      <c r="A33" s="5"/>
      <c r="B33" s="2"/>
    </row>
    <row r="34" spans="1:2" x14ac:dyDescent="0.2">
      <c r="A34" s="5"/>
      <c r="B34" s="2"/>
    </row>
    <row r="35" spans="1:2" x14ac:dyDescent="0.2">
      <c r="A35" s="5"/>
      <c r="B35" s="2"/>
    </row>
    <row r="36" spans="1:2" x14ac:dyDescent="0.2">
      <c r="A36" s="5"/>
      <c r="B36" s="2"/>
    </row>
    <row r="37" spans="1:2" x14ac:dyDescent="0.2">
      <c r="A37" s="5"/>
      <c r="B37" s="2"/>
    </row>
    <row r="38" spans="1:2" x14ac:dyDescent="0.2">
      <c r="A38" s="5"/>
      <c r="B38" s="2"/>
    </row>
    <row r="39" spans="1:2" x14ac:dyDescent="0.2">
      <c r="A39" s="5"/>
      <c r="B39" s="2"/>
    </row>
    <row r="40" spans="1:2" x14ac:dyDescent="0.2">
      <c r="A40" s="5"/>
      <c r="B4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mac</cp:lastModifiedBy>
  <dcterms:created xsi:type="dcterms:W3CDTF">2026-10-01T05:25:51Z</dcterms:created>
  <dcterms:modified xsi:type="dcterms:W3CDTF">2026-10-06T07:10:58Z</dcterms:modified>
</cp:coreProperties>
</file>